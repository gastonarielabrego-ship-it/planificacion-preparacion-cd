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 tabRatio="658" firstSheet="25" activeTab="32"/>
  </bookViews>
  <sheets>
    <sheet name="Diciembre" sheetId="17" r:id="rId1"/>
    <sheet name="Enero 2024" sheetId="19" r:id="rId2"/>
    <sheet name="Febrero 2024" sheetId="22" r:id="rId3"/>
    <sheet name="Marzo 2024" sheetId="23" r:id="rId4"/>
    <sheet name="Abril 2024" sheetId="24" r:id="rId5"/>
    <sheet name="Mayo 2024" sheetId="25" r:id="rId6"/>
    <sheet name="Junio 2024" sheetId="26" r:id="rId7"/>
    <sheet name="Julio 2024" sheetId="27" r:id="rId8"/>
    <sheet name="Agosto 2024" sheetId="28" r:id="rId9"/>
    <sheet name="Septiembre 2024" sheetId="29" r:id="rId10"/>
    <sheet name="Octubre 2024" sheetId="30" r:id="rId11"/>
    <sheet name="Noviembre 2024" sheetId="31" r:id="rId12"/>
    <sheet name="Diciembre 2024" sheetId="32" r:id="rId13"/>
    <sheet name="Enero 2025" sheetId="34" r:id="rId14"/>
    <sheet name="Febrero 2025" sheetId="35" r:id="rId15"/>
    <sheet name="Marzo 2025" sheetId="36" r:id="rId16"/>
    <sheet name="Abril 2025" sheetId="38" r:id="rId17"/>
    <sheet name="Mayo 2025" sheetId="39" r:id="rId18"/>
    <sheet name="Junio 2025" sheetId="40" r:id="rId19"/>
    <sheet name="Julio 2025" sheetId="41" r:id="rId20"/>
    <sheet name="Agosto 2025" sheetId="42" r:id="rId21"/>
    <sheet name="Septiembre 2025" sheetId="44" r:id="rId22"/>
    <sheet name="Octubre 2025" sheetId="45" r:id="rId23"/>
    <sheet name="Noviembre 2025" sheetId="46" r:id="rId24"/>
    <sheet name="Diciembre 2025" sheetId="47" r:id="rId25"/>
    <sheet name="Enero 2026" sheetId="48" r:id="rId26"/>
    <sheet name="Febrero 2026" sheetId="50" r:id="rId27"/>
    <sheet name="Marzo 2026" sheetId="51" r:id="rId28"/>
    <sheet name="Abril 2026" sheetId="52" r:id="rId29"/>
    <sheet name="Mayo 2026" sheetId="53" r:id="rId30"/>
    <sheet name="Junio 2026" sheetId="54" r:id="rId31"/>
    <sheet name="Julio 2026" sheetId="55" r:id="rId32"/>
    <sheet name="Agosto 2026" sheetId="56" r:id="rId33"/>
  </sheets>
  <definedNames>
    <definedName name="_xlnm.Print_Area" localSheetId="4">'Abril 2024'!$X$1:$AF$11</definedName>
    <definedName name="_xlnm.Print_Area" localSheetId="28">'Abril 2026'!$T$1:$AB$11</definedName>
    <definedName name="_xlnm.Print_Area" localSheetId="32">'Agosto 2026'!$W$1:$AE$11</definedName>
    <definedName name="_xlnm.Print_Area" localSheetId="12">'Diciembre 2024'!$W$1:$AE$11</definedName>
    <definedName name="_xlnm.Print_Area" localSheetId="24">'Diciembre 2025'!$V$1:$AD$11</definedName>
    <definedName name="_xlnm.Print_Area" localSheetId="1">'Enero 2024'!$W$1:$AE$11</definedName>
    <definedName name="_xlnm.Print_Area" localSheetId="26">'Febrero 2026'!$V$1:$AD$11</definedName>
    <definedName name="_xlnm.Print_Area" localSheetId="31">'Julio 2026'!$T$1:$AB$11</definedName>
    <definedName name="_xlnm.Print_Area" localSheetId="6">'Junio 2024'!$W$1:$AE$11</definedName>
    <definedName name="_xlnm.Print_Area" localSheetId="18">'Junio 2025'!$W$1:$AE$11</definedName>
    <definedName name="_xlnm.Print_Area" localSheetId="30">'Junio 2026'!$V$1:$AD$11</definedName>
    <definedName name="_xlnm.Print_Area" localSheetId="27">'Marzo 2026'!$V$1:$AD$11</definedName>
    <definedName name="_xlnm.Print_Area" localSheetId="5">'Mayo 2024'!$S$1:$AA$11</definedName>
    <definedName name="_xlnm.Print_Area" localSheetId="29">'Mayo 2026'!$R$1:$Z$11</definedName>
    <definedName name="_xlnm.Print_Area" localSheetId="11">'Noviembre 2024'!$X$1:$AF$11</definedName>
    <definedName name="_xlnm.Print_Area" localSheetId="22">'Octubre 2025'!$T$1:$AB$11</definedName>
    <definedName name="_xlnm.Print_Area" localSheetId="9">'Septiembre 2024'!$W$1:$AE$11</definedName>
    <definedName name="_xlnm.Print_Area" localSheetId="21">'Septiembre 2025'!$V$1:$AD$11</definedName>
  </definedNames>
  <calcPr calcId="125725"/>
</workbook>
</file>

<file path=xl/calcChain.xml><?xml version="1.0" encoding="utf-8"?>
<calcChain xmlns="http://schemas.openxmlformats.org/spreadsheetml/2006/main">
  <c r="AF10" i="56"/>
  <c r="AD10"/>
  <c r="AC10"/>
  <c r="AB10"/>
  <c r="AA10"/>
  <c r="Z10"/>
  <c r="Y10"/>
  <c r="W10"/>
  <c r="V10"/>
  <c r="U10"/>
  <c r="T10"/>
  <c r="S10"/>
  <c r="P10"/>
  <c r="O10"/>
  <c r="N10"/>
  <c r="M10"/>
  <c r="L10"/>
  <c r="K10"/>
  <c r="I10"/>
  <c r="H10"/>
  <c r="G10"/>
  <c r="F10"/>
  <c r="E10"/>
  <c r="D10"/>
  <c r="B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C2"/>
  <c r="F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E1"/>
  <c r="D1"/>
  <c r="C1"/>
  <c r="L10" i="55"/>
  <c r="AF10"/>
  <c r="AE10"/>
  <c r="AD10"/>
  <c r="AC10"/>
  <c r="AB10"/>
  <c r="Z10"/>
  <c r="Y10"/>
  <c r="X10"/>
  <c r="W10"/>
  <c r="V10"/>
  <c r="U10"/>
  <c r="S10"/>
  <c r="R10"/>
  <c r="Q10"/>
  <c r="P10"/>
  <c r="O10"/>
  <c r="N10"/>
  <c r="J10"/>
  <c r="I10"/>
  <c r="H10"/>
  <c r="G10"/>
  <c r="E10"/>
  <c r="D10"/>
  <c r="C10"/>
  <c r="B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C2"/>
  <c r="E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D1"/>
  <c r="C1"/>
  <c r="Y10" i="54"/>
  <c r="AE10"/>
  <c r="AD10"/>
  <c r="AB10"/>
  <c r="AA10"/>
  <c r="Z10"/>
  <c r="X10"/>
  <c r="W10"/>
  <c r="U10"/>
  <c r="T10"/>
  <c r="S10"/>
  <c r="R10"/>
  <c r="Q10"/>
  <c r="N10"/>
  <c r="M10"/>
  <c r="L10"/>
  <c r="K10"/>
  <c r="J10"/>
  <c r="I10"/>
  <c r="G10"/>
  <c r="F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D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C1"/>
  <c r="AE10" i="53"/>
  <c r="AD10"/>
  <c r="AF2"/>
  <c r="AE2"/>
  <c r="AD2"/>
  <c r="AD1"/>
  <c r="AE1" s="1"/>
  <c r="AF1" s="1"/>
  <c r="L10"/>
  <c r="B10"/>
  <c r="AC10"/>
  <c r="AB10"/>
  <c r="AA10"/>
  <c r="X10"/>
  <c r="W10"/>
  <c r="V10"/>
  <c r="U10"/>
  <c r="T10"/>
  <c r="S10"/>
  <c r="Q10"/>
  <c r="P10"/>
  <c r="O10"/>
  <c r="N10"/>
  <c r="M10"/>
  <c r="J10"/>
  <c r="I10"/>
  <c r="H10"/>
  <c r="G10"/>
  <c r="F10"/>
  <c r="E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C2"/>
  <c r="L10" i="52"/>
  <c r="C10"/>
  <c r="AE10"/>
  <c r="AD10"/>
  <c r="AC10"/>
  <c r="AB10"/>
  <c r="Z10"/>
  <c r="Y10"/>
  <c r="X10"/>
  <c r="W10"/>
  <c r="V10"/>
  <c r="U10"/>
  <c r="S10"/>
  <c r="R10"/>
  <c r="Q10"/>
  <c r="P10"/>
  <c r="O10"/>
  <c r="N10"/>
  <c r="K10"/>
  <c r="J10"/>
  <c r="I10"/>
  <c r="H10"/>
  <c r="G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F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E1"/>
  <c r="D1"/>
  <c r="C1"/>
  <c r="Z10" i="51"/>
  <c r="P10"/>
  <c r="I10"/>
  <c r="AF10"/>
  <c r="AE10"/>
  <c r="AD10"/>
  <c r="AB10"/>
  <c r="AA10"/>
  <c r="X10"/>
  <c r="W10"/>
  <c r="U10"/>
  <c r="T10"/>
  <c r="S10"/>
  <c r="R10"/>
  <c r="Q10"/>
  <c r="N10"/>
  <c r="M10"/>
  <c r="L10"/>
  <c r="K10"/>
  <c r="J10"/>
  <c r="G10"/>
  <c r="F10"/>
  <c r="E10"/>
  <c r="D10"/>
  <c r="C10"/>
  <c r="B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C2"/>
  <c r="D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C1"/>
  <c r="AF10" i="50"/>
  <c r="AE10"/>
  <c r="AC10"/>
  <c r="AB10"/>
  <c r="AA10"/>
  <c r="Z10"/>
  <c r="Y10"/>
  <c r="X10"/>
  <c r="V10"/>
  <c r="T10"/>
  <c r="S10"/>
  <c r="O10"/>
  <c r="N10"/>
  <c r="M10"/>
  <c r="L10"/>
  <c r="K10"/>
  <c r="J10"/>
  <c r="H10"/>
  <c r="G10"/>
  <c r="F10"/>
  <c r="E10"/>
  <c r="D10"/>
  <c r="C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0" i="48"/>
  <c r="AF10"/>
  <c r="AE10"/>
  <c r="AF2"/>
  <c r="AG2" s="1"/>
  <c r="AG1"/>
  <c r="AF1"/>
  <c r="AE2"/>
  <c r="AE1"/>
  <c r="C1" i="53" l="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0" i="48"/>
  <c r="AC10"/>
  <c r="AB10"/>
  <c r="AA10"/>
  <c r="Y10"/>
  <c r="X10"/>
  <c r="W10"/>
  <c r="V10"/>
  <c r="U10"/>
  <c r="T10"/>
  <c r="R10"/>
  <c r="Q10"/>
  <c r="P10"/>
  <c r="O10"/>
  <c r="N10"/>
  <c r="M10"/>
  <c r="K10"/>
  <c r="J10"/>
  <c r="I10"/>
  <c r="H10"/>
  <c r="G10"/>
  <c r="F10"/>
  <c r="D10"/>
  <c r="C10"/>
  <c r="B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C2"/>
  <c r="K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J1"/>
  <c r="I1"/>
  <c r="H1"/>
  <c r="G1"/>
  <c r="F1"/>
  <c r="E1"/>
  <c r="D1"/>
  <c r="C1"/>
  <c r="AF10" i="47"/>
  <c r="AF2"/>
  <c r="AF1"/>
  <c r="AE10" l="1"/>
  <c r="AD10"/>
  <c r="AB10"/>
  <c r="AA10"/>
  <c r="Y10"/>
  <c r="X10"/>
  <c r="W10"/>
  <c r="U10"/>
  <c r="T10"/>
  <c r="S10"/>
  <c r="R10"/>
  <c r="Q10"/>
  <c r="N10"/>
  <c r="M10"/>
  <c r="L10"/>
  <c r="K10"/>
  <c r="J10"/>
  <c r="G10"/>
  <c r="F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K10" i="46" l="1"/>
  <c r="AD10"/>
  <c r="AC10"/>
  <c r="AB10"/>
  <c r="AA10"/>
  <c r="Z10"/>
  <c r="W10"/>
  <c r="V10"/>
  <c r="U10"/>
  <c r="T10"/>
  <c r="S10"/>
  <c r="R10"/>
  <c r="P10"/>
  <c r="O10"/>
  <c r="N10"/>
  <c r="M10"/>
  <c r="L10"/>
  <c r="I10"/>
  <c r="H10"/>
  <c r="G10"/>
  <c r="F10"/>
  <c r="E10"/>
  <c r="D10"/>
  <c r="B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C2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M6" i="45"/>
  <c r="L6"/>
  <c r="AF1" l="1"/>
  <c r="AF2"/>
  <c r="AF10"/>
  <c r="AE1"/>
  <c r="AE2"/>
  <c r="AE10"/>
  <c r="AD1"/>
  <c r="AD2"/>
  <c r="AD10"/>
  <c r="AC10"/>
  <c r="AB10"/>
  <c r="Z10"/>
  <c r="Y10"/>
  <c r="X10"/>
  <c r="W10"/>
  <c r="V10"/>
  <c r="U10"/>
  <c r="S10"/>
  <c r="R10"/>
  <c r="Q10"/>
  <c r="P10"/>
  <c r="O10"/>
  <c r="N10"/>
  <c r="K10"/>
  <c r="J10"/>
  <c r="I10"/>
  <c r="H10"/>
  <c r="G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E10" i="44"/>
  <c r="AE2"/>
  <c r="AE1"/>
  <c r="U10"/>
  <c r="T10"/>
  <c r="P10" l="1"/>
  <c r="AD10"/>
  <c r="AB10"/>
  <c r="AA10"/>
  <c r="Z10"/>
  <c r="Y10"/>
  <c r="X10"/>
  <c r="W10"/>
  <c r="S10"/>
  <c r="R10"/>
  <c r="Q10"/>
  <c r="N10"/>
  <c r="M10"/>
  <c r="L10"/>
  <c r="K10"/>
  <c r="J10"/>
  <c r="I10"/>
  <c r="G10"/>
  <c r="F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F10" i="42" l="1"/>
  <c r="AE10"/>
  <c r="AE2"/>
  <c r="AF2" s="1"/>
  <c r="AF1"/>
  <c r="AE1"/>
  <c r="AD10"/>
  <c r="AC10"/>
  <c r="AB10"/>
  <c r="AA10"/>
  <c r="Z10"/>
  <c r="Y10"/>
  <c r="X10"/>
  <c r="W10"/>
  <c r="V10"/>
  <c r="U10"/>
  <c r="T10"/>
  <c r="S10"/>
  <c r="Q10"/>
  <c r="P10"/>
  <c r="O10"/>
  <c r="N10"/>
  <c r="M10"/>
  <c r="L10"/>
  <c r="J10"/>
  <c r="I10"/>
  <c r="H10"/>
  <c r="G10"/>
  <c r="F10"/>
  <c r="E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F10" i="41"/>
  <c r="AE10"/>
  <c r="AD10"/>
  <c r="AC10"/>
  <c r="AB10"/>
  <c r="AA10"/>
  <c r="Z10"/>
  <c r="Y10"/>
  <c r="X10"/>
  <c r="W10"/>
  <c r="V10"/>
  <c r="T10"/>
  <c r="S10"/>
  <c r="R10"/>
  <c r="Q10"/>
  <c r="P10"/>
  <c r="O10"/>
  <c r="M10"/>
  <c r="L10"/>
  <c r="J10"/>
  <c r="I10"/>
  <c r="H10"/>
  <c r="F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E10" i="40" l="1"/>
  <c r="AC10"/>
  <c r="AB10"/>
  <c r="AA10"/>
  <c r="Z10"/>
  <c r="Y10"/>
  <c r="X10"/>
  <c r="U10"/>
  <c r="T10"/>
  <c r="S10"/>
  <c r="R10"/>
  <c r="O10"/>
  <c r="N10"/>
  <c r="M10"/>
  <c r="L10"/>
  <c r="K10"/>
  <c r="J10"/>
  <c r="H10"/>
  <c r="G10"/>
  <c r="F10"/>
  <c r="E10"/>
  <c r="D10"/>
  <c r="C10"/>
  <c r="B10"/>
  <c r="H2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G2"/>
  <c r="F2"/>
  <c r="E2"/>
  <c r="D2"/>
  <c r="C2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0" i="39"/>
  <c r="AE10"/>
  <c r="AF2"/>
  <c r="AF1"/>
  <c r="X10"/>
  <c r="V10"/>
  <c r="U10"/>
  <c r="T10"/>
  <c r="S10"/>
  <c r="R10"/>
  <c r="Q10"/>
  <c r="P10"/>
  <c r="AD10" l="1"/>
  <c r="AC10"/>
  <c r="AB10"/>
  <c r="AA10"/>
  <c r="Z10"/>
  <c r="Y10"/>
  <c r="W10"/>
  <c r="O10"/>
  <c r="N10"/>
  <c r="M10"/>
  <c r="L10"/>
  <c r="K10"/>
  <c r="I10"/>
  <c r="H10"/>
  <c r="G10"/>
  <c r="F10"/>
  <c r="D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S10" i="38" l="1"/>
  <c r="AF10" l="1"/>
  <c r="AE10"/>
  <c r="AD10"/>
  <c r="AC10"/>
  <c r="AB10"/>
  <c r="AA10"/>
  <c r="Z10"/>
  <c r="Y10"/>
  <c r="X10"/>
  <c r="W10"/>
  <c r="V10"/>
  <c r="R10"/>
  <c r="Q10"/>
  <c r="P10"/>
  <c r="O10"/>
  <c r="M10"/>
  <c r="K10"/>
  <c r="J10"/>
  <c r="I10"/>
  <c r="H10"/>
  <c r="F10"/>
  <c r="E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F10" i="36"/>
  <c r="R10" l="1"/>
  <c r="AF2"/>
  <c r="AF1"/>
  <c r="AD10"/>
  <c r="AC10"/>
  <c r="AB10"/>
  <c r="AA10"/>
  <c r="Z10"/>
  <c r="W10"/>
  <c r="V10"/>
  <c r="U10"/>
  <c r="T10"/>
  <c r="S10"/>
  <c r="P10"/>
  <c r="O10"/>
  <c r="N10"/>
  <c r="M10"/>
  <c r="L10"/>
  <c r="K10"/>
  <c r="I10"/>
  <c r="H10"/>
  <c r="G10"/>
  <c r="F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0" i="34"/>
  <c r="AF2"/>
  <c r="AF1"/>
  <c r="AE2"/>
  <c r="AE10"/>
  <c r="P10" i="35"/>
  <c r="R10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D10"/>
  <c r="AC10"/>
  <c r="AB10"/>
  <c r="AA10"/>
  <c r="Z10"/>
  <c r="Y10"/>
  <c r="W10"/>
  <c r="V10"/>
  <c r="U10"/>
  <c r="T10"/>
  <c r="S10"/>
  <c r="O10"/>
  <c r="N10"/>
  <c r="M10"/>
  <c r="L10"/>
  <c r="K10"/>
  <c r="I10"/>
  <c r="H10"/>
  <c r="G10"/>
  <c r="F10"/>
  <c r="E10"/>
  <c r="D10"/>
  <c r="B10"/>
  <c r="AD10" i="34"/>
  <c r="AC10"/>
  <c r="AB10"/>
  <c r="AA10"/>
  <c r="Z10"/>
  <c r="Y10"/>
  <c r="X10"/>
  <c r="W10"/>
  <c r="V10"/>
  <c r="U10"/>
  <c r="S10"/>
  <c r="R10"/>
  <c r="Q10"/>
  <c r="P10"/>
  <c r="O10"/>
  <c r="N10"/>
  <c r="L10"/>
  <c r="K10"/>
  <c r="J10"/>
  <c r="I10"/>
  <c r="H10"/>
  <c r="G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0" i="32" l="1"/>
  <c r="AF2"/>
  <c r="AF1"/>
  <c r="AE10"/>
  <c r="AC10"/>
  <c r="AB10"/>
  <c r="AA10"/>
  <c r="Z10"/>
  <c r="Y10"/>
  <c r="X10"/>
  <c r="V10"/>
  <c r="U10"/>
  <c r="T10"/>
  <c r="S10"/>
  <c r="R10"/>
  <c r="Q10"/>
  <c r="O10"/>
  <c r="N10"/>
  <c r="M10"/>
  <c r="L10"/>
  <c r="K10"/>
  <c r="J10"/>
  <c r="H10"/>
  <c r="G10"/>
  <c r="F10"/>
  <c r="E10"/>
  <c r="D10"/>
  <c r="C10"/>
  <c r="B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C2"/>
  <c r="E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D1"/>
  <c r="C1"/>
  <c r="Q10" i="31" l="1"/>
  <c r="C2" l="1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AG2" s="1"/>
  <c r="AH2" s="1"/>
  <c r="B10"/>
  <c r="B1"/>
  <c r="AH10"/>
  <c r="AG10"/>
  <c r="AE10"/>
  <c r="AD10"/>
  <c r="AC10"/>
  <c r="AB10"/>
  <c r="AA10"/>
  <c r="Z10"/>
  <c r="X10"/>
  <c r="W10"/>
  <c r="V10"/>
  <c r="U10"/>
  <c r="T10"/>
  <c r="P10"/>
  <c r="O10"/>
  <c r="N10"/>
  <c r="M10"/>
  <c r="L10"/>
  <c r="J10"/>
  <c r="I10"/>
  <c r="H10"/>
  <c r="G10"/>
  <c r="F10"/>
  <c r="E10"/>
  <c r="C10"/>
  <c r="E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D1"/>
  <c r="AF10" i="30"/>
  <c r="AF2"/>
  <c r="AF1"/>
  <c r="AE10"/>
  <c r="AD10"/>
  <c r="AC10"/>
  <c r="AB10"/>
  <c r="AA10"/>
  <c r="Z10"/>
  <c r="Y10"/>
  <c r="X10"/>
  <c r="W10"/>
  <c r="V10"/>
  <c r="T10"/>
  <c r="S10"/>
  <c r="R10"/>
  <c r="Q10"/>
  <c r="P10"/>
  <c r="O10"/>
  <c r="M10"/>
  <c r="L10"/>
  <c r="K10"/>
  <c r="J10"/>
  <c r="I10"/>
  <c r="H10"/>
  <c r="F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E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D1"/>
  <c r="C1"/>
  <c r="AE10" i="29"/>
  <c r="X10"/>
  <c r="Q10"/>
  <c r="Y15" i="28" l="1"/>
  <c r="AA15"/>
  <c r="AE15"/>
  <c r="AD15"/>
  <c r="AC15"/>
  <c r="AB15"/>
  <c r="X15"/>
  <c r="W15"/>
  <c r="V15"/>
  <c r="J10" i="29" l="1"/>
  <c r="C10"/>
  <c r="AC10"/>
  <c r="AB10"/>
  <c r="AA10"/>
  <c r="Z10"/>
  <c r="Y10"/>
  <c r="V10"/>
  <c r="U10"/>
  <c r="T10"/>
  <c r="S10"/>
  <c r="R10"/>
  <c r="O10"/>
  <c r="N10"/>
  <c r="M10"/>
  <c r="L10"/>
  <c r="K10"/>
  <c r="H10"/>
  <c r="G10"/>
  <c r="F10"/>
  <c r="E10"/>
  <c r="D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D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C1"/>
  <c r="AG1" i="28"/>
  <c r="AG2"/>
  <c r="AF10"/>
  <c r="AF1"/>
  <c r="AF2"/>
  <c r="AE10"/>
  <c r="AE2"/>
  <c r="AE1"/>
  <c r="AD10" l="1"/>
  <c r="AC10"/>
  <c r="AB10"/>
  <c r="AA10"/>
  <c r="Y10"/>
  <c r="X10"/>
  <c r="W10"/>
  <c r="V10"/>
  <c r="U10"/>
  <c r="R10"/>
  <c r="Q10"/>
  <c r="P10"/>
  <c r="O10"/>
  <c r="N10"/>
  <c r="M10"/>
  <c r="K10"/>
  <c r="J10"/>
  <c r="I10"/>
  <c r="H10"/>
  <c r="G10"/>
  <c r="F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D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C1"/>
  <c r="AF10" i="27"/>
  <c r="AF2"/>
  <c r="AF1"/>
  <c r="AE10"/>
  <c r="AE2"/>
  <c r="AE1"/>
  <c r="AD10"/>
  <c r="AD2"/>
  <c r="AD1"/>
  <c r="AC10"/>
  <c r="AC2"/>
  <c r="AC1"/>
  <c r="AB10"/>
  <c r="AB2"/>
  <c r="AB1"/>
  <c r="AA10"/>
  <c r="AA2"/>
  <c r="AA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Z10"/>
  <c r="Y10"/>
  <c r="X10"/>
  <c r="W10"/>
  <c r="U10"/>
  <c r="T10"/>
  <c r="S10"/>
  <c r="R10"/>
  <c r="Q10"/>
  <c r="P10"/>
  <c r="N10"/>
  <c r="M10"/>
  <c r="L10"/>
  <c r="K10"/>
  <c r="J10"/>
  <c r="I10"/>
  <c r="G10"/>
  <c r="F10"/>
  <c r="E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F10" i="25"/>
  <c r="AF2"/>
  <c r="AF1"/>
  <c r="B10" i="26"/>
  <c r="D10"/>
  <c r="E10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G10"/>
  <c r="AF10"/>
  <c r="AD10"/>
  <c r="AC10"/>
  <c r="AB10"/>
  <c r="AA10"/>
  <c r="Z10"/>
  <c r="Y10"/>
  <c r="W10"/>
  <c r="V10"/>
  <c r="U10"/>
  <c r="T10"/>
  <c r="S10"/>
  <c r="R10"/>
  <c r="P10"/>
  <c r="O10"/>
  <c r="N10"/>
  <c r="M10"/>
  <c r="L10"/>
  <c r="K10"/>
  <c r="I10"/>
  <c r="H10"/>
  <c r="G10"/>
  <c r="F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AG2" s="1"/>
  <c r="E1" i="25"/>
  <c r="E2"/>
  <c r="B10"/>
  <c r="AE10"/>
  <c r="AD10"/>
  <c r="AC10"/>
  <c r="AB10"/>
  <c r="Y10"/>
  <c r="X10"/>
  <c r="W10"/>
  <c r="V10"/>
  <c r="U10"/>
  <c r="R10"/>
  <c r="Q10"/>
  <c r="D1"/>
  <c r="D10"/>
  <c r="Z10"/>
  <c r="S10"/>
  <c r="P10"/>
  <c r="O10"/>
  <c r="N10"/>
  <c r="L10"/>
  <c r="J10"/>
  <c r="I10"/>
  <c r="H10"/>
  <c r="G10"/>
  <c r="E10"/>
  <c r="C2"/>
  <c r="D2" s="1"/>
  <c r="C1"/>
  <c r="D1" i="24"/>
  <c r="E1" s="1"/>
  <c r="F1" s="1"/>
  <c r="G1" s="1"/>
  <c r="H1" s="1"/>
  <c r="I1" s="1"/>
  <c r="J1" s="1"/>
  <c r="K1" s="1"/>
  <c r="L1" s="1"/>
  <c r="D2"/>
  <c r="E2" s="1"/>
  <c r="F2" s="1"/>
  <c r="G2" s="1"/>
  <c r="H2" s="1"/>
  <c r="I2" s="1"/>
  <c r="J2" s="1"/>
  <c r="K2" s="1"/>
  <c r="L2" s="1"/>
  <c r="M2" s="1"/>
  <c r="N2" s="1"/>
  <c r="O2" s="1"/>
  <c r="P2" s="1"/>
  <c r="G10"/>
  <c r="AH10"/>
  <c r="AG10"/>
  <c r="AD10"/>
  <c r="AC10"/>
  <c r="AA10"/>
  <c r="Z10"/>
  <c r="W10"/>
  <c r="V10"/>
  <c r="AE10"/>
  <c r="AB10"/>
  <c r="X10"/>
  <c r="U10"/>
  <c r="T10"/>
  <c r="S10"/>
  <c r="Q10"/>
  <c r="P10"/>
  <c r="O10"/>
  <c r="N10"/>
  <c r="M10"/>
  <c r="L10"/>
  <c r="J10"/>
  <c r="I10"/>
  <c r="H10"/>
  <c r="B10"/>
  <c r="C2"/>
  <c r="C1"/>
  <c r="H10" i="23"/>
  <c r="G10"/>
  <c r="F10"/>
  <c r="AC10"/>
  <c r="AB10"/>
  <c r="AA10"/>
  <c r="Z10"/>
  <c r="X10"/>
  <c r="W10"/>
  <c r="V10"/>
  <c r="U10"/>
  <c r="T10"/>
  <c r="S10"/>
  <c r="Q10"/>
  <c r="P10"/>
  <c r="O10"/>
  <c r="N10"/>
  <c r="M10"/>
  <c r="L10"/>
  <c r="J10"/>
  <c r="I10"/>
  <c r="E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F2" i="25" l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F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M1" i="24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Q2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AG2" s="1"/>
  <c r="AH2" s="1"/>
  <c r="AD10" i="22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C10"/>
  <c r="AB10"/>
  <c r="AA10"/>
  <c r="X10"/>
  <c r="W10"/>
  <c r="V10"/>
  <c r="U10"/>
  <c r="T10"/>
  <c r="Q10"/>
  <c r="P10"/>
  <c r="Y10"/>
  <c r="R10"/>
  <c r="O10"/>
  <c r="N10"/>
  <c r="M10"/>
  <c r="K10"/>
  <c r="J10"/>
  <c r="I10"/>
  <c r="H10"/>
  <c r="G10"/>
  <c r="F10"/>
  <c r="D10"/>
  <c r="C10"/>
  <c r="B10"/>
  <c r="C2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H8" i="19"/>
  <c r="AG8"/>
  <c r="AF8"/>
  <c r="AC8"/>
  <c r="AB8"/>
  <c r="Z8"/>
  <c r="Y8"/>
  <c r="V8"/>
  <c r="U8"/>
  <c r="R10"/>
  <c r="I10"/>
  <c r="C1"/>
  <c r="D1" s="1"/>
  <c r="E1" s="1"/>
  <c r="F1" s="1"/>
  <c r="B10"/>
  <c r="D2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AG2" s="1"/>
  <c r="AH2" s="1"/>
  <c r="C2"/>
  <c r="S10"/>
  <c r="AD10"/>
  <c r="AA10"/>
  <c r="W10"/>
  <c r="T10"/>
  <c r="P10"/>
  <c r="O10"/>
  <c r="N10"/>
  <c r="M10"/>
  <c r="L10"/>
  <c r="K10"/>
  <c r="H10"/>
  <c r="G10"/>
  <c r="F10"/>
  <c r="E10"/>
  <c r="AG1" i="17"/>
  <c r="AG2"/>
  <c r="AE10"/>
  <c r="H1" i="19" l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G1"/>
  <c r="I10" i="17"/>
  <c r="E10"/>
  <c r="AD10"/>
  <c r="AC10"/>
  <c r="AB10"/>
  <c r="AA10"/>
  <c r="X10"/>
  <c r="W10"/>
  <c r="V10"/>
  <c r="U10"/>
  <c r="T10"/>
  <c r="S10"/>
  <c r="P10"/>
  <c r="O10"/>
  <c r="N10"/>
  <c r="M10"/>
  <c r="L10"/>
  <c r="H10"/>
  <c r="G10"/>
  <c r="F10"/>
  <c r="C10"/>
  <c r="B10"/>
  <c r="F2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E2"/>
  <c r="D2"/>
  <c r="C2"/>
  <c r="E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D1"/>
  <c r="C1"/>
</calcChain>
</file>

<file path=xl/sharedStrings.xml><?xml version="1.0" encoding="utf-8"?>
<sst xmlns="http://schemas.openxmlformats.org/spreadsheetml/2006/main" count="134" uniqueCount="6">
  <si>
    <t>STD</t>
  </si>
  <si>
    <t>Ola total</t>
  </si>
  <si>
    <t>Pendiente</t>
  </si>
  <si>
    <t>Total</t>
  </si>
  <si>
    <t>Inventario</t>
  </si>
  <si>
    <t>General</t>
  </si>
</sst>
</file>

<file path=xl/styles.xml><?xml version="1.0" encoding="utf-8"?>
<styleSheet xmlns="http://schemas.openxmlformats.org/spreadsheetml/2006/main">
  <numFmts count="1">
    <numFmt numFmtId="164" formatCode="dddd"/>
  </numFmts>
  <fonts count="15">
    <font>
      <sz val="10"/>
      <name val="MS Sans Serif"/>
    </font>
    <font>
      <sz val="12"/>
      <color rgb="FF222222"/>
      <name val="Arial"/>
      <family val="2"/>
    </font>
    <font>
      <sz val="8"/>
      <color rgb="FF222222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u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222222"/>
      <name val="Arial"/>
      <family val="2"/>
    </font>
    <font>
      <sz val="10"/>
      <name val="Arial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8.5"/>
      <name val="MS Sans Serif"/>
      <family val="2"/>
    </font>
    <font>
      <sz val="8"/>
      <name val="Arial"/>
      <family val="2"/>
    </font>
    <font>
      <sz val="8"/>
      <name val="MS Sans Serif"/>
      <family val="2"/>
    </font>
    <font>
      <sz val="15"/>
      <name val="MS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26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" fontId="3" fillId="3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2" xfId="0" applyFont="1" applyFill="1" applyBorder="1"/>
    <xf numFmtId="0" fontId="5" fillId="2" borderId="2" xfId="0" applyFont="1" applyFill="1" applyBorder="1"/>
    <xf numFmtId="0" fontId="6" fillId="2" borderId="2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0" fontId="1" fillId="4" borderId="0" xfId="0" applyFont="1" applyFill="1"/>
    <xf numFmtId="0" fontId="3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9" fillId="0" borderId="0" xfId="0" applyFont="1"/>
    <xf numFmtId="164" fontId="3" fillId="3" borderId="0" xfId="0" applyNumberFormat="1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3" fontId="3" fillId="5" borderId="0" xfId="0" applyNumberFormat="1" applyFont="1" applyFill="1" applyAlignment="1">
      <alignment horizontal="center"/>
    </xf>
    <xf numFmtId="3" fontId="0" fillId="0" borderId="0" xfId="0" applyNumberFormat="1"/>
    <xf numFmtId="0" fontId="1" fillId="4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3" borderId="5" xfId="0" applyNumberFormat="1" applyFont="1" applyFill="1" applyBorder="1" applyAlignment="1">
      <alignment horizontal="center"/>
    </xf>
    <xf numFmtId="16" fontId="3" fillId="3" borderId="5" xfId="0" applyNumberFormat="1" applyFont="1" applyFill="1" applyBorder="1" applyAlignment="1">
      <alignment horizontal="center"/>
    </xf>
    <xf numFmtId="3" fontId="11" fillId="0" borderId="0" xfId="0" applyNumberFormat="1" applyFont="1"/>
    <xf numFmtId="0" fontId="1" fillId="4" borderId="4" xfId="0" applyFont="1" applyFill="1" applyBorder="1" applyAlignment="1"/>
    <xf numFmtId="0" fontId="2" fillId="5" borderId="1" xfId="0" applyFont="1" applyFill="1" applyBorder="1" applyAlignment="1">
      <alignment horizontal="center"/>
    </xf>
    <xf numFmtId="3" fontId="2" fillId="5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" fontId="3" fillId="4" borderId="0" xfId="0" applyNumberFormat="1" applyFont="1" applyFill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4" fillId="4" borderId="0" xfId="0" applyFont="1" applyFill="1" applyBorder="1"/>
    <xf numFmtId="0" fontId="5" fillId="4" borderId="0" xfId="0" applyFont="1" applyFill="1" applyBorder="1"/>
    <xf numFmtId="0" fontId="3" fillId="4" borderId="0" xfId="0" applyFont="1" applyFill="1" applyBorder="1"/>
    <xf numFmtId="0" fontId="3" fillId="4" borderId="4" xfId="0" applyFont="1" applyFill="1" applyBorder="1" applyAlignment="1"/>
    <xf numFmtId="0" fontId="2" fillId="2" borderId="6" xfId="0" applyFont="1" applyFill="1" applyBorder="1" applyAlignment="1">
      <alignment horizontal="center"/>
    </xf>
    <xf numFmtId="0" fontId="3" fillId="5" borderId="7" xfId="0" applyFont="1" applyFill="1" applyBorder="1" applyAlignment="1"/>
    <xf numFmtId="0" fontId="3" fillId="5" borderId="5" xfId="0" applyFont="1" applyFill="1" applyBorder="1" applyAlignment="1">
      <alignment horizontal="center"/>
    </xf>
    <xf numFmtId="3" fontId="3" fillId="5" borderId="5" xfId="0" applyNumberFormat="1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3" fontId="3" fillId="5" borderId="0" xfId="0" applyNumberFormat="1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5" borderId="0" xfId="0" applyFont="1" applyFill="1" applyBorder="1"/>
    <xf numFmtId="0" fontId="3" fillId="5" borderId="0" xfId="0" applyFont="1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/>
    </xf>
    <xf numFmtId="16" fontId="3" fillId="3" borderId="0" xfId="0" applyNumberFormat="1" applyFont="1" applyFill="1" applyBorder="1" applyAlignment="1">
      <alignment horizontal="center"/>
    </xf>
    <xf numFmtId="3" fontId="3" fillId="5" borderId="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4" borderId="0" xfId="0" applyFont="1" applyFill="1" applyBorder="1"/>
    <xf numFmtId="0" fontId="1" fillId="4" borderId="7" xfId="0" applyFont="1" applyFill="1" applyBorder="1" applyAlignment="1"/>
    <xf numFmtId="0" fontId="1" fillId="4" borderId="5" xfId="0" applyFont="1" applyFill="1" applyBorder="1"/>
    <xf numFmtId="0" fontId="1" fillId="4" borderId="0" xfId="0" applyFont="1" applyFill="1" applyBorder="1" applyAlignment="1">
      <alignment horizontal="center"/>
    </xf>
    <xf numFmtId="3" fontId="2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2" fillId="4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vertical="center"/>
    </xf>
    <xf numFmtId="0" fontId="3" fillId="5" borderId="0" xfId="0" applyFont="1" applyFill="1" applyBorder="1" applyAlignment="1">
      <alignment vertical="center"/>
    </xf>
    <xf numFmtId="0" fontId="2" fillId="4" borderId="1" xfId="0" applyFont="1" applyFill="1" applyBorder="1" applyAlignment="1"/>
    <xf numFmtId="0" fontId="3" fillId="4" borderId="4" xfId="0" applyFont="1" applyFill="1" applyBorder="1" applyAlignment="1">
      <alignment vertical="center"/>
    </xf>
    <xf numFmtId="0" fontId="2" fillId="5" borderId="1" xfId="0" applyFont="1" applyFill="1" applyBorder="1" applyAlignment="1"/>
    <xf numFmtId="0" fontId="2" fillId="5" borderId="4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6" fillId="5" borderId="0" xfId="0" applyNumberFormat="1" applyFont="1" applyFill="1" applyBorder="1" applyAlignment="1">
      <alignment horizontal="center" vertical="center"/>
    </xf>
    <xf numFmtId="3" fontId="7" fillId="5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3" fillId="5" borderId="5" xfId="0" applyNumberFormat="1" applyFont="1" applyFill="1" applyBorder="1" applyAlignment="1">
      <alignment horizontal="center" vertical="center"/>
    </xf>
    <xf numFmtId="3" fontId="3" fillId="5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3" fontId="2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3" fontId="7" fillId="5" borderId="0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4" xfId="0" applyFont="1" applyFill="1" applyBorder="1" applyAlignment="1"/>
    <xf numFmtId="3" fontId="3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5" borderId="10" xfId="0" applyFont="1" applyFill="1" applyBorder="1" applyAlignment="1"/>
    <xf numFmtId="0" fontId="3" fillId="5" borderId="11" xfId="0" applyFont="1" applyFill="1" applyBorder="1" applyAlignment="1">
      <alignment horizontal="center"/>
    </xf>
    <xf numFmtId="3" fontId="3" fillId="5" borderId="11" xfId="0" applyNumberFormat="1" applyFon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0" fillId="0" borderId="0" xfId="0" applyBorder="1"/>
    <xf numFmtId="0" fontId="2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3" fontId="3" fillId="5" borderId="0" xfId="0" applyNumberFormat="1" applyFont="1" applyFill="1" applyAlignment="1">
      <alignment vertical="center"/>
    </xf>
    <xf numFmtId="3" fontId="7" fillId="5" borderId="0" xfId="0" applyNumberFormat="1" applyFont="1" applyFill="1" applyAlignment="1">
      <alignment vertical="center"/>
    </xf>
    <xf numFmtId="0" fontId="2" fillId="9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1" fillId="2" borderId="5" xfId="0" applyFont="1" applyFill="1" applyBorder="1"/>
    <xf numFmtId="3" fontId="2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3" fontId="12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3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3" fontId="6" fillId="4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/>
    </xf>
    <xf numFmtId="3" fontId="6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/>
    </xf>
    <xf numFmtId="3" fontId="7" fillId="6" borderId="0" xfId="0" applyNumberFormat="1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3" fontId="2" fillId="6" borderId="0" xfId="0" applyNumberFormat="1" applyFont="1" applyFill="1" applyAlignment="1">
      <alignment horizontal="center" vertical="center"/>
    </xf>
    <xf numFmtId="3" fontId="3" fillId="4" borderId="0" xfId="0" applyNumberFormat="1" applyFont="1" applyFill="1" applyBorder="1" applyAlignment="1">
      <alignment horizontal="center"/>
    </xf>
    <xf numFmtId="3" fontId="3" fillId="4" borderId="5" xfId="0" applyNumberFormat="1" applyFont="1" applyFill="1" applyBorder="1" applyAlignment="1">
      <alignment horizontal="center"/>
    </xf>
    <xf numFmtId="3" fontId="7" fillId="4" borderId="0" xfId="0" applyNumberFormat="1" applyFont="1" applyFill="1" applyBorder="1" applyAlignment="1">
      <alignment horizontal="center" vertical="center"/>
    </xf>
    <xf numFmtId="3" fontId="7" fillId="4" borderId="5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7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12" fillId="4" borderId="0" xfId="0" applyNumberFormat="1" applyFont="1" applyFill="1" applyAlignment="1">
      <alignment horizontal="center" vertical="center"/>
    </xf>
    <xf numFmtId="3" fontId="3" fillId="4" borderId="0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7" fillId="9" borderId="0" xfId="0" applyNumberFormat="1" applyFont="1" applyFill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 2_DATOS 04-05-08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0"/>
  <sheetViews>
    <sheetView workbookViewId="0">
      <selection activeCell="N21" sqref="N21"/>
    </sheetView>
  </sheetViews>
  <sheetFormatPr baseColWidth="10" defaultRowHeight="12.75"/>
  <cols>
    <col min="2" max="2" width="6.5703125" bestFit="1" customWidth="1"/>
    <col min="3" max="3" width="6.140625" bestFit="1" customWidth="1"/>
    <col min="4" max="4" width="6.7109375" bestFit="1" customWidth="1"/>
    <col min="5" max="6" width="6.5703125" bestFit="1" customWidth="1"/>
    <col min="7" max="7" width="7.5703125" bestFit="1" customWidth="1"/>
    <col min="8" max="9" width="6.5703125" bestFit="1" customWidth="1"/>
    <col min="10" max="10" width="6.140625" bestFit="1" customWidth="1"/>
    <col min="11" max="11" width="6.7109375" bestFit="1" customWidth="1"/>
    <col min="12" max="13" width="6.5703125" bestFit="1" customWidth="1"/>
    <col min="14" max="14" width="7.5703125" bestFit="1" customWidth="1"/>
    <col min="15" max="16" width="6.5703125" bestFit="1" customWidth="1"/>
    <col min="17" max="17" width="6.140625" bestFit="1" customWidth="1"/>
    <col min="18" max="18" width="6.7109375" bestFit="1" customWidth="1"/>
    <col min="19" max="19" width="7.28515625" customWidth="1"/>
    <col min="20" max="20" width="7.5703125" customWidth="1"/>
    <col min="21" max="21" width="7.5703125" bestFit="1" customWidth="1"/>
    <col min="22" max="22" width="6.5703125" bestFit="1" customWidth="1"/>
    <col min="23" max="23" width="7" bestFit="1" customWidth="1"/>
    <col min="24" max="24" width="6.140625" bestFit="1" customWidth="1"/>
    <col min="25" max="25" width="6.7109375" bestFit="1" customWidth="1"/>
    <col min="26" max="27" width="6.5703125" bestFit="1" customWidth="1"/>
    <col min="28" max="28" width="7.5703125" bestFit="1" customWidth="1"/>
    <col min="29" max="29" width="6.5703125" bestFit="1" customWidth="1"/>
    <col min="30" max="30" width="7" bestFit="1" customWidth="1"/>
    <col min="31" max="31" width="6.140625" bestFit="1" customWidth="1"/>
    <col min="32" max="32" width="6.7109375" bestFit="1" customWidth="1"/>
    <col min="33" max="33" width="6.5703125" customWidth="1"/>
  </cols>
  <sheetData>
    <row r="1" spans="1:33">
      <c r="A1" s="2"/>
      <c r="B1" s="24">
        <v>45170</v>
      </c>
      <c r="C1" s="24">
        <f>+B1+1</f>
        <v>45171</v>
      </c>
      <c r="D1" s="24">
        <f t="shared" ref="D1:AG1" si="0">+C1+1</f>
        <v>45172</v>
      </c>
      <c r="E1" s="24">
        <f t="shared" si="0"/>
        <v>45173</v>
      </c>
      <c r="F1" s="24">
        <f t="shared" si="0"/>
        <v>45174</v>
      </c>
      <c r="G1" s="24">
        <f t="shared" si="0"/>
        <v>45175</v>
      </c>
      <c r="H1" s="24">
        <f t="shared" si="0"/>
        <v>45176</v>
      </c>
      <c r="I1" s="24">
        <f t="shared" si="0"/>
        <v>45177</v>
      </c>
      <c r="J1" s="24">
        <f t="shared" si="0"/>
        <v>45178</v>
      </c>
      <c r="K1" s="24">
        <f t="shared" si="0"/>
        <v>45179</v>
      </c>
      <c r="L1" s="24">
        <f t="shared" si="0"/>
        <v>45180</v>
      </c>
      <c r="M1" s="24">
        <f t="shared" si="0"/>
        <v>45181</v>
      </c>
      <c r="N1" s="24">
        <f t="shared" si="0"/>
        <v>45182</v>
      </c>
      <c r="O1" s="24">
        <f t="shared" si="0"/>
        <v>45183</v>
      </c>
      <c r="P1" s="24">
        <f t="shared" si="0"/>
        <v>45184</v>
      </c>
      <c r="Q1" s="24">
        <f t="shared" si="0"/>
        <v>45185</v>
      </c>
      <c r="R1" s="24">
        <f t="shared" si="0"/>
        <v>45186</v>
      </c>
      <c r="S1" s="24">
        <f t="shared" si="0"/>
        <v>45187</v>
      </c>
      <c r="T1" s="24">
        <f t="shared" si="0"/>
        <v>45188</v>
      </c>
      <c r="U1" s="24">
        <f t="shared" si="0"/>
        <v>45189</v>
      </c>
      <c r="V1" s="24">
        <f t="shared" si="0"/>
        <v>45190</v>
      </c>
      <c r="W1" s="24">
        <f t="shared" si="0"/>
        <v>45191</v>
      </c>
      <c r="X1" s="24">
        <f t="shared" si="0"/>
        <v>45192</v>
      </c>
      <c r="Y1" s="24">
        <f t="shared" si="0"/>
        <v>45193</v>
      </c>
      <c r="Z1" s="24">
        <f t="shared" si="0"/>
        <v>45194</v>
      </c>
      <c r="AA1" s="24">
        <f t="shared" si="0"/>
        <v>45195</v>
      </c>
      <c r="AB1" s="24">
        <f t="shared" si="0"/>
        <v>45196</v>
      </c>
      <c r="AC1" s="24">
        <f t="shared" si="0"/>
        <v>45197</v>
      </c>
      <c r="AD1" s="24">
        <f t="shared" si="0"/>
        <v>45198</v>
      </c>
      <c r="AE1" s="48">
        <f t="shared" si="0"/>
        <v>45199</v>
      </c>
      <c r="AF1" s="48">
        <f t="shared" si="0"/>
        <v>45200</v>
      </c>
      <c r="AG1" s="48">
        <f t="shared" si="0"/>
        <v>45201</v>
      </c>
    </row>
    <row r="2" spans="1:33">
      <c r="A2" s="4"/>
      <c r="B2" s="5">
        <v>45261</v>
      </c>
      <c r="C2" s="5">
        <f t="shared" ref="C2:AG2" si="1">+B2+1</f>
        <v>45262</v>
      </c>
      <c r="D2" s="5">
        <f t="shared" si="1"/>
        <v>45263</v>
      </c>
      <c r="E2" s="5">
        <f t="shared" si="1"/>
        <v>45264</v>
      </c>
      <c r="F2" s="5">
        <f t="shared" si="1"/>
        <v>45265</v>
      </c>
      <c r="G2" s="5">
        <f t="shared" si="1"/>
        <v>45266</v>
      </c>
      <c r="H2" s="5">
        <f t="shared" si="1"/>
        <v>45267</v>
      </c>
      <c r="I2" s="5">
        <f t="shared" si="1"/>
        <v>45268</v>
      </c>
      <c r="J2" s="5">
        <f t="shared" si="1"/>
        <v>45269</v>
      </c>
      <c r="K2" s="5">
        <f t="shared" si="1"/>
        <v>45270</v>
      </c>
      <c r="L2" s="5">
        <f t="shared" si="1"/>
        <v>45271</v>
      </c>
      <c r="M2" s="5">
        <f t="shared" si="1"/>
        <v>45272</v>
      </c>
      <c r="N2" s="5">
        <f t="shared" si="1"/>
        <v>45273</v>
      </c>
      <c r="O2" s="5">
        <f t="shared" si="1"/>
        <v>45274</v>
      </c>
      <c r="P2" s="5">
        <f t="shared" si="1"/>
        <v>45275</v>
      </c>
      <c r="Q2" s="5">
        <f t="shared" si="1"/>
        <v>45276</v>
      </c>
      <c r="R2" s="5">
        <f t="shared" si="1"/>
        <v>45277</v>
      </c>
      <c r="S2" s="5">
        <f t="shared" si="1"/>
        <v>45278</v>
      </c>
      <c r="T2" s="5">
        <f t="shared" si="1"/>
        <v>45279</v>
      </c>
      <c r="U2" s="5">
        <f t="shared" si="1"/>
        <v>45280</v>
      </c>
      <c r="V2" s="5">
        <f t="shared" si="1"/>
        <v>45281</v>
      </c>
      <c r="W2" s="5">
        <f t="shared" si="1"/>
        <v>45282</v>
      </c>
      <c r="X2" s="5">
        <f t="shared" si="1"/>
        <v>45283</v>
      </c>
      <c r="Y2" s="5">
        <f t="shared" si="1"/>
        <v>45284</v>
      </c>
      <c r="Z2" s="5">
        <f t="shared" si="1"/>
        <v>45285</v>
      </c>
      <c r="AA2" s="5">
        <f t="shared" si="1"/>
        <v>45286</v>
      </c>
      <c r="AB2" s="5">
        <f t="shared" si="1"/>
        <v>45287</v>
      </c>
      <c r="AC2" s="5">
        <f t="shared" si="1"/>
        <v>45288</v>
      </c>
      <c r="AD2" s="5">
        <f t="shared" si="1"/>
        <v>45289</v>
      </c>
      <c r="AE2" s="49">
        <f t="shared" si="1"/>
        <v>45290</v>
      </c>
      <c r="AF2" s="49">
        <f t="shared" si="1"/>
        <v>45291</v>
      </c>
      <c r="AG2" s="49">
        <f t="shared" si="1"/>
        <v>45292</v>
      </c>
    </row>
    <row r="3" spans="1:33" ht="13.5" thickBot="1">
      <c r="A3" s="6"/>
      <c r="B3" s="7"/>
      <c r="C3" s="8"/>
      <c r="D3" s="8"/>
      <c r="E3" s="7"/>
      <c r="F3" s="7"/>
      <c r="G3" s="7"/>
      <c r="H3" s="7"/>
      <c r="I3" s="16"/>
      <c r="J3" s="8"/>
      <c r="K3" s="8"/>
      <c r="L3" s="7"/>
      <c r="M3" s="7"/>
      <c r="N3" s="7"/>
      <c r="O3" s="7"/>
      <c r="P3" s="16"/>
      <c r="Q3" s="17"/>
      <c r="R3" s="17"/>
      <c r="S3" s="7"/>
      <c r="T3" s="7"/>
      <c r="U3" s="7"/>
      <c r="V3" s="7"/>
      <c r="W3" s="7"/>
      <c r="X3" s="8"/>
      <c r="Y3" s="8"/>
      <c r="Z3" s="16"/>
      <c r="AA3" s="7"/>
      <c r="AB3" s="7"/>
      <c r="AC3" s="7"/>
      <c r="AD3" s="7"/>
      <c r="AE3" s="17"/>
      <c r="AF3" s="17"/>
      <c r="AG3" s="51"/>
    </row>
    <row r="4" spans="1:33" ht="15">
      <c r="A4" s="9" t="s">
        <v>0</v>
      </c>
      <c r="B4" s="1"/>
      <c r="C4" s="235"/>
      <c r="D4" s="235"/>
      <c r="E4" s="1"/>
      <c r="F4" s="1"/>
      <c r="G4" s="1"/>
      <c r="H4" s="1"/>
      <c r="I4" s="14"/>
      <c r="J4" s="235"/>
      <c r="K4" s="235"/>
      <c r="L4" s="1"/>
      <c r="M4" s="1"/>
      <c r="N4" s="1"/>
      <c r="O4" s="1"/>
      <c r="P4" s="14"/>
      <c r="Q4" s="236"/>
      <c r="R4" s="236"/>
      <c r="S4" s="1"/>
      <c r="T4" s="1"/>
      <c r="U4" s="1"/>
      <c r="V4" s="1"/>
      <c r="W4" s="1"/>
      <c r="X4" s="235"/>
      <c r="Y4" s="235"/>
      <c r="Z4" s="14"/>
      <c r="AA4" s="1"/>
      <c r="AB4" s="1"/>
      <c r="AC4" s="1"/>
      <c r="AD4" s="1"/>
      <c r="AE4" s="236"/>
      <c r="AF4" s="236"/>
      <c r="AG4" s="50"/>
    </row>
    <row r="5" spans="1:33" ht="15">
      <c r="A5" s="10"/>
      <c r="B5" s="1"/>
      <c r="C5" s="3"/>
      <c r="D5" s="3"/>
      <c r="E5" s="1"/>
      <c r="F5" s="1"/>
      <c r="G5" s="1"/>
      <c r="H5" s="1"/>
      <c r="I5" s="14"/>
      <c r="J5" s="3"/>
      <c r="K5" s="3"/>
      <c r="L5" s="1"/>
      <c r="M5" s="1"/>
      <c r="N5" s="1"/>
      <c r="O5" s="1"/>
      <c r="P5" s="14"/>
      <c r="Q5" s="15"/>
      <c r="R5" s="15"/>
      <c r="S5" s="25"/>
      <c r="T5" s="25"/>
      <c r="U5" s="25"/>
      <c r="V5" s="25"/>
      <c r="W5" s="25"/>
      <c r="X5" s="3"/>
      <c r="Y5" s="3"/>
      <c r="Z5" s="14"/>
      <c r="AA5" s="25"/>
      <c r="AB5" s="25"/>
      <c r="AC5" s="25"/>
      <c r="AD5" s="25"/>
      <c r="AE5" s="15"/>
      <c r="AF5" s="15"/>
      <c r="AG5" s="50"/>
    </row>
    <row r="6" spans="1:33">
      <c r="A6" s="11" t="s">
        <v>1</v>
      </c>
      <c r="B6" s="18">
        <v>301050</v>
      </c>
      <c r="C6" s="231">
        <v>0</v>
      </c>
      <c r="D6" s="231"/>
      <c r="E6" s="18">
        <v>234968</v>
      </c>
      <c r="F6" s="18">
        <v>201079</v>
      </c>
      <c r="G6" s="18">
        <v>216596</v>
      </c>
      <c r="H6" s="18">
        <v>204382</v>
      </c>
      <c r="I6" s="234">
        <v>173496</v>
      </c>
      <c r="J6" s="234"/>
      <c r="K6" s="234"/>
      <c r="L6" s="18">
        <v>148808</v>
      </c>
      <c r="M6" s="18">
        <v>181011</v>
      </c>
      <c r="N6" s="18">
        <v>228399</v>
      </c>
      <c r="O6" s="18">
        <v>258992</v>
      </c>
      <c r="P6" s="234">
        <v>0</v>
      </c>
      <c r="Q6" s="234"/>
      <c r="R6" s="234"/>
      <c r="S6" s="18">
        <v>233098</v>
      </c>
      <c r="T6" s="18">
        <v>180613</v>
      </c>
      <c r="U6" s="18">
        <v>176272</v>
      </c>
      <c r="V6" s="18">
        <v>166557</v>
      </c>
      <c r="W6" s="18">
        <v>212091</v>
      </c>
      <c r="X6" s="231">
        <v>0</v>
      </c>
      <c r="Y6" s="231"/>
      <c r="Z6" s="231"/>
      <c r="AA6" s="18">
        <v>155808</v>
      </c>
      <c r="AB6" s="18">
        <v>201058</v>
      </c>
      <c r="AC6" s="18">
        <v>176699</v>
      </c>
      <c r="AD6" s="18">
        <v>158151</v>
      </c>
      <c r="AE6" s="238">
        <v>0</v>
      </c>
      <c r="AF6" s="238"/>
      <c r="AG6" s="238"/>
    </row>
    <row r="7" spans="1:33" ht="15">
      <c r="A7" s="12"/>
      <c r="B7" s="19"/>
      <c r="C7" s="20"/>
      <c r="D7" s="20"/>
      <c r="E7" s="19"/>
      <c r="F7" s="19"/>
      <c r="G7" s="19"/>
      <c r="H7" s="19"/>
      <c r="I7" s="44"/>
      <c r="J7" s="20"/>
      <c r="K7" s="20"/>
      <c r="L7" s="19"/>
      <c r="M7" s="19"/>
      <c r="N7" s="19"/>
      <c r="O7" s="19"/>
      <c r="P7" s="44"/>
      <c r="Q7" s="46"/>
      <c r="R7" s="46"/>
      <c r="S7" s="19"/>
      <c r="T7" s="19"/>
      <c r="U7" s="19"/>
      <c r="V7" s="19"/>
      <c r="W7" s="19"/>
      <c r="X7" s="20"/>
      <c r="Y7" s="20"/>
      <c r="Z7" s="44"/>
      <c r="AA7" s="19"/>
      <c r="AB7" s="19"/>
      <c r="AC7" s="19"/>
      <c r="AD7" s="19"/>
      <c r="AE7" s="46"/>
      <c r="AF7" s="46"/>
      <c r="AG7" s="50"/>
    </row>
    <row r="8" spans="1:33">
      <c r="A8" s="12" t="s">
        <v>2</v>
      </c>
      <c r="B8" s="18">
        <v>57742</v>
      </c>
      <c r="C8" s="232">
        <v>116057</v>
      </c>
      <c r="D8" s="232"/>
      <c r="E8" s="18">
        <v>81272</v>
      </c>
      <c r="F8" s="18">
        <v>148907</v>
      </c>
      <c r="G8" s="18">
        <v>137912</v>
      </c>
      <c r="H8" s="18">
        <v>167324</v>
      </c>
      <c r="I8" s="234">
        <v>68404</v>
      </c>
      <c r="J8" s="234"/>
      <c r="K8" s="234"/>
      <c r="L8" s="18">
        <v>68270</v>
      </c>
      <c r="M8" s="18">
        <v>55260</v>
      </c>
      <c r="N8" s="18">
        <v>73181</v>
      </c>
      <c r="O8" s="18">
        <v>107497</v>
      </c>
      <c r="P8" s="237">
        <v>112726</v>
      </c>
      <c r="Q8" s="237"/>
      <c r="R8" s="237"/>
      <c r="S8" s="18">
        <v>79473</v>
      </c>
      <c r="T8" s="18">
        <v>123472</v>
      </c>
      <c r="U8" s="18">
        <v>105444</v>
      </c>
      <c r="V8" s="18">
        <v>87107</v>
      </c>
      <c r="W8" s="18">
        <v>67784</v>
      </c>
      <c r="X8" s="240">
        <v>90423</v>
      </c>
      <c r="Y8" s="240"/>
      <c r="Z8" s="240"/>
      <c r="AA8" s="18">
        <v>63256</v>
      </c>
      <c r="AB8" s="18">
        <v>49875</v>
      </c>
      <c r="AC8" s="18">
        <v>62097</v>
      </c>
      <c r="AD8" s="18">
        <v>54310</v>
      </c>
      <c r="AE8" s="237">
        <v>47470</v>
      </c>
      <c r="AF8" s="237"/>
      <c r="AG8" s="237"/>
    </row>
    <row r="9" spans="1:33" ht="15">
      <c r="A9" s="12"/>
      <c r="B9" s="19"/>
      <c r="C9" s="20"/>
      <c r="D9" s="20"/>
      <c r="E9" s="19"/>
      <c r="F9" s="19"/>
      <c r="G9" s="19"/>
      <c r="H9" s="19"/>
      <c r="I9" s="44"/>
      <c r="J9" s="20"/>
      <c r="K9" s="20"/>
      <c r="L9" s="19"/>
      <c r="M9" s="19"/>
      <c r="N9" s="19"/>
      <c r="O9" s="19"/>
      <c r="P9" s="44"/>
      <c r="Q9" s="46"/>
      <c r="R9" s="46"/>
      <c r="S9" s="26"/>
      <c r="T9" s="26"/>
      <c r="U9" s="26"/>
      <c r="V9" s="26"/>
      <c r="W9" s="26"/>
      <c r="X9" s="20"/>
      <c r="Y9" s="20"/>
      <c r="Z9" s="44"/>
      <c r="AA9" s="26"/>
      <c r="AB9" s="27"/>
      <c r="AC9" s="26"/>
      <c r="AD9" s="26"/>
      <c r="AE9" s="46"/>
      <c r="AF9" s="46"/>
      <c r="AG9" s="50"/>
    </row>
    <row r="10" spans="1:33">
      <c r="A10" s="11" t="s">
        <v>3</v>
      </c>
      <c r="B10" s="21">
        <f>+B6+B8</f>
        <v>358792</v>
      </c>
      <c r="C10" s="233">
        <f t="shared" ref="C10:AD10" si="2">+C6+C8</f>
        <v>116057</v>
      </c>
      <c r="D10" s="233"/>
      <c r="E10" s="21">
        <f t="shared" si="2"/>
        <v>316240</v>
      </c>
      <c r="F10" s="21">
        <f t="shared" si="2"/>
        <v>349986</v>
      </c>
      <c r="G10" s="21">
        <f t="shared" si="2"/>
        <v>354508</v>
      </c>
      <c r="H10" s="21">
        <f t="shared" si="2"/>
        <v>371706</v>
      </c>
      <c r="I10" s="233">
        <f>+I6+I8</f>
        <v>241900</v>
      </c>
      <c r="J10" s="233"/>
      <c r="K10" s="233"/>
      <c r="L10" s="21">
        <f t="shared" si="2"/>
        <v>217078</v>
      </c>
      <c r="M10" s="21">
        <f t="shared" si="2"/>
        <v>236271</v>
      </c>
      <c r="N10" s="21">
        <f t="shared" si="2"/>
        <v>301580</v>
      </c>
      <c r="O10" s="21">
        <f t="shared" si="2"/>
        <v>366489</v>
      </c>
      <c r="P10" s="239">
        <f>+Q6+P8</f>
        <v>112726</v>
      </c>
      <c r="Q10" s="239"/>
      <c r="R10" s="239"/>
      <c r="S10" s="45">
        <f t="shared" si="2"/>
        <v>312571</v>
      </c>
      <c r="T10" s="45">
        <f t="shared" si="2"/>
        <v>304085</v>
      </c>
      <c r="U10" s="45">
        <f t="shared" si="2"/>
        <v>281716</v>
      </c>
      <c r="V10" s="45">
        <f t="shared" si="2"/>
        <v>253664</v>
      </c>
      <c r="W10" s="45">
        <f t="shared" si="2"/>
        <v>279875</v>
      </c>
      <c r="X10" s="233">
        <f t="shared" si="2"/>
        <v>90423</v>
      </c>
      <c r="Y10" s="233"/>
      <c r="Z10" s="233"/>
      <c r="AA10" s="45">
        <f t="shared" si="2"/>
        <v>219064</v>
      </c>
      <c r="AB10" s="45">
        <f t="shared" si="2"/>
        <v>250933</v>
      </c>
      <c r="AC10" s="45">
        <f t="shared" si="2"/>
        <v>238796</v>
      </c>
      <c r="AD10" s="45">
        <f t="shared" si="2"/>
        <v>212461</v>
      </c>
      <c r="AE10" s="239">
        <f>+AE6+AE8</f>
        <v>47470</v>
      </c>
      <c r="AF10" s="239"/>
      <c r="AG10" s="239"/>
    </row>
    <row r="11" spans="1:33" ht="13.5" thickBot="1">
      <c r="A11" s="13"/>
      <c r="B11" s="7"/>
      <c r="C11" s="8"/>
      <c r="D11" s="8"/>
      <c r="E11" s="7"/>
      <c r="F11" s="7"/>
      <c r="G11" s="7"/>
      <c r="H11" s="7"/>
      <c r="I11" s="16"/>
      <c r="J11" s="8"/>
      <c r="K11" s="8"/>
      <c r="L11" s="7"/>
      <c r="M11" s="7"/>
      <c r="N11" s="7"/>
      <c r="O11" s="7"/>
      <c r="P11" s="16"/>
      <c r="Q11" s="17"/>
      <c r="R11" s="17"/>
      <c r="S11" s="7"/>
      <c r="T11" s="7"/>
      <c r="U11" s="7"/>
      <c r="V11" s="7"/>
      <c r="W11" s="7"/>
      <c r="X11" s="8"/>
      <c r="Y11" s="8"/>
      <c r="Z11" s="16"/>
      <c r="AA11" s="7"/>
      <c r="AB11" s="7"/>
      <c r="AC11" s="7"/>
      <c r="AD11" s="7"/>
      <c r="AE11" s="17"/>
      <c r="AF11" s="17"/>
      <c r="AG11" s="51"/>
    </row>
    <row r="13" spans="1:33">
      <c r="X13" s="23"/>
      <c r="AE13" s="23"/>
    </row>
    <row r="14" spans="1:33">
      <c r="R14" s="23"/>
    </row>
    <row r="15" spans="1:33">
      <c r="Q15" s="22"/>
    </row>
    <row r="20" spans="10:10">
      <c r="J20" s="22"/>
    </row>
  </sheetData>
  <mergeCells count="20">
    <mergeCell ref="X10:Z10"/>
    <mergeCell ref="P6:R6"/>
    <mergeCell ref="P8:R8"/>
    <mergeCell ref="AE8:AG8"/>
    <mergeCell ref="AE6:AG6"/>
    <mergeCell ref="AE10:AG10"/>
    <mergeCell ref="P10:R10"/>
    <mergeCell ref="X6:Z6"/>
    <mergeCell ref="X8:Z8"/>
    <mergeCell ref="C4:D4"/>
    <mergeCell ref="J4:K4"/>
    <mergeCell ref="Q4:R4"/>
    <mergeCell ref="X4:Y4"/>
    <mergeCell ref="AE4:AF4"/>
    <mergeCell ref="C6:D6"/>
    <mergeCell ref="C8:D8"/>
    <mergeCell ref="C10:D10"/>
    <mergeCell ref="I6:K6"/>
    <mergeCell ref="I8:K8"/>
    <mergeCell ref="I10:K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W1" sqref="W1:AE11"/>
    </sheetView>
  </sheetViews>
  <sheetFormatPr baseColWidth="10" defaultRowHeight="12.75"/>
  <cols>
    <col min="2" max="2" width="6.140625" bestFit="1" customWidth="1"/>
    <col min="3" max="3" width="6.7109375" bestFit="1" customWidth="1"/>
    <col min="4" max="9" width="7.5703125" bestFit="1" customWidth="1"/>
    <col min="10" max="10" width="6.5703125" bestFit="1" customWidth="1"/>
    <col min="11" max="16" width="7.5703125" bestFit="1" customWidth="1"/>
    <col min="17" max="17" width="6.5703125" bestFit="1" customWidth="1"/>
    <col min="18" max="18" width="7.42578125" bestFit="1" customWidth="1"/>
    <col min="19" max="23" width="7.5703125" bestFit="1" customWidth="1"/>
    <col min="24" max="24" width="6.5703125" bestFit="1" customWidth="1"/>
    <col min="25" max="26" width="7.5703125" bestFit="1" customWidth="1"/>
    <col min="27" max="27" width="7.85546875" customWidth="1"/>
    <col min="28" max="30" width="7.5703125" bestFit="1" customWidth="1"/>
    <col min="31" max="31" width="6.5703125" bestFit="1" customWidth="1"/>
    <col min="32" max="34" width="7.5703125" bestFit="1" customWidth="1"/>
  </cols>
  <sheetData>
    <row r="1" spans="1:34">
      <c r="A1" s="2"/>
      <c r="B1" s="24">
        <v>45290</v>
      </c>
      <c r="C1" s="24">
        <f t="shared" ref="C1" si="0">+B1+1</f>
        <v>45291</v>
      </c>
      <c r="D1" s="24">
        <f t="shared" ref="D1" si="1">+C1+1</f>
        <v>45292</v>
      </c>
      <c r="E1" s="24">
        <f t="shared" ref="E1" si="2">+D1+1</f>
        <v>45293</v>
      </c>
      <c r="F1" s="24">
        <f t="shared" ref="F1:U2" si="3">+E1+1</f>
        <v>45294</v>
      </c>
      <c r="G1" s="24">
        <f>+F1+1</f>
        <v>45295</v>
      </c>
      <c r="H1" s="24">
        <f t="shared" si="3"/>
        <v>45296</v>
      </c>
      <c r="I1" s="24">
        <f t="shared" si="3"/>
        <v>45297</v>
      </c>
      <c r="J1" s="24">
        <f t="shared" si="3"/>
        <v>45298</v>
      </c>
      <c r="K1" s="24">
        <f t="shared" si="3"/>
        <v>45299</v>
      </c>
      <c r="L1" s="24">
        <f t="shared" si="3"/>
        <v>45300</v>
      </c>
      <c r="M1" s="24">
        <f t="shared" si="3"/>
        <v>45301</v>
      </c>
      <c r="N1" s="24">
        <f t="shared" si="3"/>
        <v>45302</v>
      </c>
      <c r="O1" s="24">
        <f t="shared" si="3"/>
        <v>45303</v>
      </c>
      <c r="P1" s="24">
        <f t="shared" si="3"/>
        <v>45304</v>
      </c>
      <c r="Q1" s="24">
        <f t="shared" si="3"/>
        <v>45305</v>
      </c>
      <c r="R1" s="24">
        <f t="shared" si="3"/>
        <v>45306</v>
      </c>
      <c r="S1" s="24">
        <f t="shared" si="3"/>
        <v>45307</v>
      </c>
      <c r="T1" s="24">
        <f t="shared" si="3"/>
        <v>45308</v>
      </c>
      <c r="U1" s="24">
        <f t="shared" si="3"/>
        <v>45309</v>
      </c>
      <c r="V1" s="24">
        <f t="shared" ref="S1:AH2" si="4">+U1+1</f>
        <v>45310</v>
      </c>
      <c r="W1" s="24">
        <f t="shared" si="4"/>
        <v>45311</v>
      </c>
      <c r="X1" s="24">
        <f t="shared" si="4"/>
        <v>45312</v>
      </c>
      <c r="Y1" s="24">
        <f t="shared" si="4"/>
        <v>45313</v>
      </c>
      <c r="Z1" s="24">
        <f t="shared" si="4"/>
        <v>45314</v>
      </c>
      <c r="AA1" s="24">
        <f t="shared" si="4"/>
        <v>45315</v>
      </c>
      <c r="AB1" s="24">
        <f t="shared" si="4"/>
        <v>45316</v>
      </c>
      <c r="AC1" s="24">
        <f t="shared" si="4"/>
        <v>45317</v>
      </c>
      <c r="AD1" s="24">
        <f t="shared" si="4"/>
        <v>45318</v>
      </c>
      <c r="AE1" s="24">
        <f t="shared" si="4"/>
        <v>45319</v>
      </c>
      <c r="AF1" s="24">
        <f t="shared" si="4"/>
        <v>45320</v>
      </c>
      <c r="AG1" s="24">
        <f t="shared" si="4"/>
        <v>45321</v>
      </c>
      <c r="AH1" s="38">
        <f t="shared" si="4"/>
        <v>45322</v>
      </c>
    </row>
    <row r="2" spans="1:34">
      <c r="A2" s="4"/>
      <c r="B2" s="5">
        <v>45290</v>
      </c>
      <c r="C2" s="5">
        <f t="shared" ref="C2:E2" si="5">+B2+1</f>
        <v>45291</v>
      </c>
      <c r="D2" s="5">
        <f t="shared" si="5"/>
        <v>45292</v>
      </c>
      <c r="E2" s="5">
        <f t="shared" si="5"/>
        <v>45293</v>
      </c>
      <c r="F2" s="5">
        <f>+E2+1</f>
        <v>45294</v>
      </c>
      <c r="G2" s="5">
        <f t="shared" si="3"/>
        <v>45295</v>
      </c>
      <c r="H2" s="5">
        <f t="shared" si="3"/>
        <v>45296</v>
      </c>
      <c r="I2" s="5">
        <f>+H2+1</f>
        <v>45297</v>
      </c>
      <c r="J2" s="5">
        <f t="shared" si="3"/>
        <v>45298</v>
      </c>
      <c r="K2" s="5">
        <f t="shared" si="3"/>
        <v>45299</v>
      </c>
      <c r="L2" s="5">
        <f t="shared" si="3"/>
        <v>45300</v>
      </c>
      <c r="M2" s="5">
        <f t="shared" si="3"/>
        <v>45301</v>
      </c>
      <c r="N2" s="5">
        <f t="shared" si="3"/>
        <v>45302</v>
      </c>
      <c r="O2" s="5">
        <f t="shared" si="3"/>
        <v>45303</v>
      </c>
      <c r="P2" s="5">
        <f t="shared" si="3"/>
        <v>45304</v>
      </c>
      <c r="Q2" s="5">
        <f t="shared" si="3"/>
        <v>45305</v>
      </c>
      <c r="R2" s="5">
        <f t="shared" si="3"/>
        <v>45306</v>
      </c>
      <c r="S2" s="5">
        <f t="shared" si="4"/>
        <v>45307</v>
      </c>
      <c r="T2" s="5">
        <f t="shared" si="4"/>
        <v>45308</v>
      </c>
      <c r="U2" s="5">
        <f t="shared" si="4"/>
        <v>45309</v>
      </c>
      <c r="V2" s="5">
        <f t="shared" si="4"/>
        <v>45310</v>
      </c>
      <c r="W2" s="5">
        <f t="shared" si="4"/>
        <v>45311</v>
      </c>
      <c r="X2" s="5">
        <f t="shared" si="4"/>
        <v>45312</v>
      </c>
      <c r="Y2" s="5">
        <f t="shared" si="4"/>
        <v>45313</v>
      </c>
      <c r="Z2" s="5">
        <f t="shared" si="4"/>
        <v>45314</v>
      </c>
      <c r="AA2" s="5">
        <f t="shared" si="4"/>
        <v>45315</v>
      </c>
      <c r="AB2" s="5">
        <f t="shared" si="4"/>
        <v>45316</v>
      </c>
      <c r="AC2" s="5">
        <f t="shared" si="4"/>
        <v>45317</v>
      </c>
      <c r="AD2" s="5">
        <f t="shared" si="4"/>
        <v>45318</v>
      </c>
      <c r="AE2" s="5">
        <f t="shared" si="4"/>
        <v>45319</v>
      </c>
      <c r="AF2" s="5">
        <f t="shared" si="4"/>
        <v>45320</v>
      </c>
      <c r="AG2" s="5">
        <f t="shared" si="4"/>
        <v>45321</v>
      </c>
      <c r="AH2" s="39">
        <f t="shared" si="4"/>
        <v>45322</v>
      </c>
    </row>
    <row r="3" spans="1:34" ht="13.5" thickBot="1">
      <c r="A3" s="6"/>
      <c r="B3" s="17"/>
      <c r="C3" s="17"/>
      <c r="D3" s="17"/>
      <c r="E3" s="42"/>
      <c r="F3" s="7"/>
      <c r="G3" s="7"/>
      <c r="H3" s="7"/>
      <c r="I3" s="16"/>
      <c r="J3" s="16"/>
      <c r="K3" s="7"/>
      <c r="L3" s="7"/>
      <c r="M3" s="7"/>
      <c r="N3" s="7"/>
      <c r="O3" s="7"/>
      <c r="P3" s="16"/>
      <c r="Q3" s="16"/>
      <c r="R3" s="42"/>
      <c r="S3" s="42"/>
      <c r="T3" s="7"/>
      <c r="U3" s="7"/>
      <c r="V3" s="7"/>
      <c r="W3" s="16"/>
      <c r="X3" s="16"/>
      <c r="Y3" s="7"/>
      <c r="Z3" s="7"/>
      <c r="AA3" s="7"/>
      <c r="AB3" s="7"/>
      <c r="AC3" s="7"/>
      <c r="AD3" s="16"/>
      <c r="AE3" s="16"/>
      <c r="AF3" s="7"/>
      <c r="AG3" s="7"/>
      <c r="AH3" s="7"/>
    </row>
    <row r="4" spans="1:34" ht="15">
      <c r="A4" s="9" t="s">
        <v>0</v>
      </c>
      <c r="B4" s="52"/>
      <c r="C4" s="52"/>
      <c r="D4" s="52"/>
      <c r="E4" s="25"/>
      <c r="F4" s="1"/>
      <c r="G4" s="1"/>
      <c r="H4" s="1"/>
      <c r="I4" s="14"/>
      <c r="J4" s="41"/>
      <c r="K4" s="1"/>
      <c r="L4" s="1"/>
      <c r="M4" s="1"/>
      <c r="N4" s="1"/>
      <c r="O4" s="1"/>
      <c r="P4" s="55"/>
      <c r="Q4" s="41"/>
      <c r="R4" s="25"/>
      <c r="S4" s="25"/>
      <c r="T4" s="1"/>
      <c r="U4" s="1"/>
      <c r="V4" s="1"/>
      <c r="W4" s="14"/>
      <c r="X4" s="41"/>
      <c r="Y4" s="30"/>
      <c r="Z4" s="30"/>
      <c r="AA4" s="1"/>
      <c r="AB4" s="1"/>
      <c r="AC4" s="30"/>
      <c r="AD4" s="14"/>
      <c r="AE4" s="41"/>
      <c r="AF4" s="1"/>
      <c r="AG4" s="1"/>
      <c r="AH4" s="30"/>
    </row>
    <row r="5" spans="1:34" ht="15">
      <c r="A5" s="10"/>
      <c r="B5" s="53"/>
      <c r="C5" s="53"/>
      <c r="D5" s="53"/>
      <c r="E5" s="25"/>
      <c r="F5" s="1"/>
      <c r="G5" s="1"/>
      <c r="H5" s="1"/>
      <c r="I5" s="14"/>
      <c r="J5" s="14"/>
      <c r="K5" s="1"/>
      <c r="L5" s="1"/>
      <c r="M5" s="1"/>
      <c r="N5" s="1"/>
      <c r="O5" s="1"/>
      <c r="P5" s="15"/>
      <c r="Q5" s="14"/>
      <c r="R5" s="25"/>
      <c r="S5" s="25"/>
      <c r="T5" s="1"/>
      <c r="U5" s="1"/>
      <c r="V5" s="1"/>
      <c r="W5" s="14"/>
      <c r="X5" s="14"/>
      <c r="Y5" s="28"/>
      <c r="Z5" s="28"/>
      <c r="AA5" s="25"/>
      <c r="AB5" s="1"/>
      <c r="AC5" s="28"/>
      <c r="AD5" s="14"/>
      <c r="AE5" s="14"/>
      <c r="AF5" s="1"/>
      <c r="AG5" s="1"/>
      <c r="AH5" s="28"/>
    </row>
    <row r="6" spans="1:34" ht="15" customHeight="1">
      <c r="A6" s="11" t="s">
        <v>1</v>
      </c>
      <c r="B6" s="241">
        <v>0</v>
      </c>
      <c r="C6" s="241"/>
      <c r="D6" s="241"/>
      <c r="E6" s="43">
        <v>124132</v>
      </c>
      <c r="F6" s="18">
        <v>232491</v>
      </c>
      <c r="G6" s="18">
        <v>166672</v>
      </c>
      <c r="H6" s="18">
        <v>154742</v>
      </c>
      <c r="I6" s="234">
        <v>0</v>
      </c>
      <c r="J6" s="234"/>
      <c r="K6" s="18">
        <v>186188</v>
      </c>
      <c r="L6" s="18">
        <v>159282</v>
      </c>
      <c r="M6" s="18">
        <v>156987</v>
      </c>
      <c r="N6" s="18">
        <v>153494</v>
      </c>
      <c r="O6" s="18">
        <v>180206</v>
      </c>
      <c r="P6" s="245">
        <v>0</v>
      </c>
      <c r="Q6" s="245"/>
      <c r="R6" s="33">
        <v>214177</v>
      </c>
      <c r="S6" s="33">
        <v>186938</v>
      </c>
      <c r="T6" s="47">
        <v>102138</v>
      </c>
      <c r="U6" s="47">
        <v>144082</v>
      </c>
      <c r="V6" s="47">
        <v>139103</v>
      </c>
      <c r="W6" s="245">
        <v>0</v>
      </c>
      <c r="X6" s="245"/>
      <c r="Y6" s="33">
        <v>225433</v>
      </c>
      <c r="Z6" s="33">
        <v>156708</v>
      </c>
      <c r="AA6" s="33">
        <v>0</v>
      </c>
      <c r="AB6" s="33">
        <v>299697</v>
      </c>
      <c r="AC6" s="33">
        <v>209362</v>
      </c>
      <c r="AD6" s="245">
        <v>0</v>
      </c>
      <c r="AE6" s="245"/>
      <c r="AF6" s="47">
        <v>187712</v>
      </c>
      <c r="AG6" s="47">
        <v>170282</v>
      </c>
      <c r="AH6" s="33">
        <v>176372</v>
      </c>
    </row>
    <row r="7" spans="1:34" ht="15">
      <c r="A7" s="12"/>
      <c r="B7" s="54"/>
      <c r="C7" s="54"/>
      <c r="D7" s="54"/>
      <c r="E7" s="26"/>
      <c r="F7" s="19"/>
      <c r="G7" s="19"/>
      <c r="H7" s="19"/>
      <c r="I7" s="44"/>
      <c r="J7" s="14"/>
      <c r="K7" s="19"/>
      <c r="L7" s="19"/>
      <c r="M7" s="19"/>
      <c r="N7" s="19"/>
      <c r="O7" s="19"/>
      <c r="P7" s="15"/>
      <c r="Q7" s="14"/>
      <c r="R7" s="32"/>
      <c r="S7" s="32"/>
      <c r="T7" s="31"/>
      <c r="U7" s="31"/>
      <c r="V7" s="31"/>
      <c r="W7" s="35"/>
      <c r="X7" s="14"/>
      <c r="Y7" s="28"/>
      <c r="Z7" s="28"/>
      <c r="AA7" s="32"/>
      <c r="AB7" s="31"/>
      <c r="AC7" s="28"/>
      <c r="AD7" s="35"/>
      <c r="AE7" s="14"/>
      <c r="AF7" s="31"/>
      <c r="AG7" s="31"/>
      <c r="AH7" s="28"/>
    </row>
    <row r="8" spans="1:34" ht="15" customHeight="1">
      <c r="A8" s="12" t="s">
        <v>2</v>
      </c>
      <c r="B8" s="234">
        <v>47470</v>
      </c>
      <c r="C8" s="234"/>
      <c r="D8" s="234"/>
      <c r="E8" s="43">
        <v>59441</v>
      </c>
      <c r="F8" s="18">
        <v>48321</v>
      </c>
      <c r="G8" s="18">
        <v>94264</v>
      </c>
      <c r="H8" s="18">
        <v>82074</v>
      </c>
      <c r="I8" s="234">
        <v>80188</v>
      </c>
      <c r="J8" s="234"/>
      <c r="K8" s="18">
        <v>81419</v>
      </c>
      <c r="L8" s="18">
        <v>85304</v>
      </c>
      <c r="M8" s="18">
        <v>87624</v>
      </c>
      <c r="N8" s="18">
        <v>74061</v>
      </c>
      <c r="O8" s="18">
        <v>51171</v>
      </c>
      <c r="P8" s="245">
        <v>67290</v>
      </c>
      <c r="Q8" s="245"/>
      <c r="R8" s="33">
        <v>57375</v>
      </c>
      <c r="S8" s="33">
        <v>100911</v>
      </c>
      <c r="T8" s="47">
        <v>115793</v>
      </c>
      <c r="U8" s="47">
        <f>+U10-U6</f>
        <v>91574</v>
      </c>
      <c r="V8" s="47">
        <f>+V10-V6</f>
        <v>84890</v>
      </c>
      <c r="W8" s="241">
        <v>100177</v>
      </c>
      <c r="X8" s="241"/>
      <c r="Y8" s="33">
        <f>+Y10-Y6</f>
        <v>54415</v>
      </c>
      <c r="Z8" s="33">
        <f>+Z10-Z6</f>
        <v>118809</v>
      </c>
      <c r="AA8" s="33">
        <v>0</v>
      </c>
      <c r="AB8" s="47">
        <f>+AB10-AB6</f>
        <v>107989</v>
      </c>
      <c r="AC8" s="33">
        <f>+AC10-AC6</f>
        <v>216844</v>
      </c>
      <c r="AD8" s="245">
        <v>275506</v>
      </c>
      <c r="AE8" s="245"/>
      <c r="AF8" s="33">
        <f>+AF10-AF6</f>
        <v>124932</v>
      </c>
      <c r="AG8" s="33">
        <f>+AG10-AG6</f>
        <v>109186</v>
      </c>
      <c r="AH8" s="33">
        <f>+AH10-AH6</f>
        <v>128409</v>
      </c>
    </row>
    <row r="9" spans="1:34" ht="15">
      <c r="A9" s="12"/>
      <c r="B9" s="54"/>
      <c r="C9" s="54"/>
      <c r="D9" s="54"/>
      <c r="E9" s="32"/>
      <c r="F9" s="31"/>
      <c r="G9" s="31"/>
      <c r="H9" s="31"/>
      <c r="I9" s="35"/>
      <c r="J9" s="14"/>
      <c r="K9" s="31"/>
      <c r="L9" s="31"/>
      <c r="M9" s="31"/>
      <c r="N9" s="31"/>
      <c r="O9" s="31"/>
      <c r="P9" s="15"/>
      <c r="Q9" s="14"/>
      <c r="R9" s="32"/>
      <c r="S9" s="32"/>
      <c r="T9" s="31"/>
      <c r="U9" s="31"/>
      <c r="V9" s="31"/>
      <c r="W9" s="35"/>
      <c r="X9" s="14"/>
      <c r="Y9" s="28"/>
      <c r="Z9" s="28"/>
      <c r="AA9" s="32"/>
      <c r="AB9" s="31"/>
      <c r="AC9" s="28"/>
      <c r="AD9" s="35"/>
      <c r="AE9" s="14"/>
      <c r="AF9" s="31"/>
      <c r="AG9" s="31"/>
      <c r="AH9" s="28"/>
    </row>
    <row r="10" spans="1:34" s="37" customFormat="1">
      <c r="A10" s="36" t="s">
        <v>3</v>
      </c>
      <c r="B10" s="242">
        <f>+B6+B8</f>
        <v>47470</v>
      </c>
      <c r="C10" s="243"/>
      <c r="D10" s="243"/>
      <c r="E10" s="45">
        <f t="shared" ref="E10:F10" si="6">+E6+E8</f>
        <v>183573</v>
      </c>
      <c r="F10" s="21">
        <f t="shared" si="6"/>
        <v>280812</v>
      </c>
      <c r="G10" s="21">
        <f>+G6+G8</f>
        <v>260936</v>
      </c>
      <c r="H10" s="21">
        <f t="shared" ref="H10:AD10" si="7">+H6+H8</f>
        <v>236816</v>
      </c>
      <c r="I10" s="244">
        <f>+I6+I8</f>
        <v>80188</v>
      </c>
      <c r="J10" s="244"/>
      <c r="K10" s="21">
        <f t="shared" si="7"/>
        <v>267607</v>
      </c>
      <c r="L10" s="21">
        <f t="shared" si="7"/>
        <v>244586</v>
      </c>
      <c r="M10" s="21">
        <f t="shared" si="7"/>
        <v>244611</v>
      </c>
      <c r="N10" s="21">
        <f t="shared" si="7"/>
        <v>227555</v>
      </c>
      <c r="O10" s="21">
        <f t="shared" si="7"/>
        <v>231377</v>
      </c>
      <c r="P10" s="239">
        <f t="shared" si="7"/>
        <v>67290</v>
      </c>
      <c r="Q10" s="239"/>
      <c r="R10" s="21">
        <f t="shared" si="7"/>
        <v>271552</v>
      </c>
      <c r="S10" s="21">
        <f t="shared" si="7"/>
        <v>287849</v>
      </c>
      <c r="T10" s="21">
        <f t="shared" si="7"/>
        <v>217931</v>
      </c>
      <c r="U10" s="21">
        <v>235656</v>
      </c>
      <c r="V10" s="21">
        <v>223993</v>
      </c>
      <c r="W10" s="244">
        <f t="shared" si="7"/>
        <v>100177</v>
      </c>
      <c r="X10" s="244"/>
      <c r="Y10" s="21">
        <v>279848</v>
      </c>
      <c r="Z10" s="21">
        <v>275517</v>
      </c>
      <c r="AA10" s="21">
        <f>+AA6+AA8</f>
        <v>0</v>
      </c>
      <c r="AB10" s="21">
        <v>407686</v>
      </c>
      <c r="AC10" s="21">
        <v>426206</v>
      </c>
      <c r="AD10" s="244">
        <f t="shared" si="7"/>
        <v>275506</v>
      </c>
      <c r="AE10" s="244"/>
      <c r="AF10" s="21">
        <v>312644</v>
      </c>
      <c r="AG10" s="21">
        <v>279468</v>
      </c>
      <c r="AH10" s="21">
        <v>304781</v>
      </c>
    </row>
    <row r="11" spans="1:34" ht="13.5" thickBot="1">
      <c r="A11" s="13"/>
      <c r="B11" s="17"/>
      <c r="C11" s="17"/>
      <c r="D11" s="17"/>
      <c r="E11" s="42"/>
      <c r="F11" s="7"/>
      <c r="G11" s="7"/>
      <c r="H11" s="7"/>
      <c r="I11" s="16"/>
      <c r="J11" s="16"/>
      <c r="K11" s="7"/>
      <c r="L11" s="7"/>
      <c r="M11" s="7"/>
      <c r="N11" s="7"/>
      <c r="O11" s="7"/>
      <c r="P11" s="17"/>
      <c r="Q11" s="16"/>
      <c r="R11" s="42"/>
      <c r="S11" s="42"/>
      <c r="T11" s="7"/>
      <c r="U11" s="7"/>
      <c r="V11" s="7"/>
      <c r="W11" s="16"/>
      <c r="X11" s="16"/>
      <c r="Y11" s="29"/>
      <c r="Z11" s="29"/>
      <c r="AA11" s="7"/>
      <c r="AB11" s="7"/>
      <c r="AC11" s="29"/>
      <c r="AD11" s="16"/>
      <c r="AE11" s="16"/>
      <c r="AF11" s="7"/>
      <c r="AG11" s="7"/>
      <c r="AH11" s="29"/>
    </row>
    <row r="13" spans="1:34">
      <c r="AC13" s="23"/>
    </row>
    <row r="14" spans="1:34">
      <c r="W14" s="23"/>
    </row>
    <row r="15" spans="1:34">
      <c r="L15" s="34"/>
      <c r="R15" s="40"/>
      <c r="S15" s="40"/>
      <c r="T15" s="40"/>
      <c r="U15" s="40"/>
      <c r="V15" s="40"/>
    </row>
    <row r="20" spans="15:15">
      <c r="O20" s="22"/>
    </row>
  </sheetData>
  <mergeCells count="15">
    <mergeCell ref="AD6:AE6"/>
    <mergeCell ref="AD8:AE8"/>
    <mergeCell ref="AD10:AE10"/>
    <mergeCell ref="P6:Q6"/>
    <mergeCell ref="P8:Q8"/>
    <mergeCell ref="P10:Q10"/>
    <mergeCell ref="W6:X6"/>
    <mergeCell ref="W8:X8"/>
    <mergeCell ref="W10:X10"/>
    <mergeCell ref="B6:D6"/>
    <mergeCell ref="B8:D8"/>
    <mergeCell ref="B10:D10"/>
    <mergeCell ref="I6:J6"/>
    <mergeCell ref="I8:J8"/>
    <mergeCell ref="I10:J10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D6" sqref="AD6"/>
    </sheetView>
  </sheetViews>
  <sheetFormatPr baseColWidth="10" defaultRowHeight="12.75"/>
  <cols>
    <col min="2" max="4" width="7.5703125" bestFit="1" customWidth="1"/>
    <col min="5" max="5" width="6.5703125" bestFit="1" customWidth="1"/>
    <col min="6" max="11" width="7.5703125" bestFit="1" customWidth="1"/>
    <col min="12" max="12" width="6.5703125" bestFit="1" customWidth="1"/>
    <col min="13" max="13" width="7.42578125" bestFit="1" customWidth="1"/>
    <col min="14" max="18" width="7.5703125" bestFit="1" customWidth="1"/>
    <col min="19" max="19" width="6.5703125" bestFit="1" customWidth="1"/>
    <col min="20" max="21" width="7.5703125" bestFit="1" customWidth="1"/>
    <col min="22" max="22" width="7.85546875" customWidth="1"/>
    <col min="23" max="25" width="7.5703125" bestFit="1" customWidth="1"/>
    <col min="26" max="26" width="6.5703125" bestFit="1" customWidth="1"/>
    <col min="27" max="30" width="7.5703125" bestFit="1" customWidth="1"/>
  </cols>
  <sheetData>
    <row r="1" spans="1:30">
      <c r="A1" s="2"/>
      <c r="B1" s="24">
        <v>45323</v>
      </c>
      <c r="C1" s="24">
        <f t="shared" ref="C1:AD2" si="0">+B1+1</f>
        <v>45324</v>
      </c>
      <c r="D1" s="24">
        <f t="shared" si="0"/>
        <v>45325</v>
      </c>
      <c r="E1" s="24">
        <f t="shared" si="0"/>
        <v>45326</v>
      </c>
      <c r="F1" s="24">
        <f t="shared" si="0"/>
        <v>45327</v>
      </c>
      <c r="G1" s="24">
        <f t="shared" si="0"/>
        <v>45328</v>
      </c>
      <c r="H1" s="24">
        <f t="shared" si="0"/>
        <v>45329</v>
      </c>
      <c r="I1" s="24">
        <f t="shared" si="0"/>
        <v>45330</v>
      </c>
      <c r="J1" s="24">
        <f t="shared" si="0"/>
        <v>45331</v>
      </c>
      <c r="K1" s="24">
        <f t="shared" si="0"/>
        <v>45332</v>
      </c>
      <c r="L1" s="24">
        <f t="shared" si="0"/>
        <v>45333</v>
      </c>
      <c r="M1" s="24">
        <f t="shared" si="0"/>
        <v>45334</v>
      </c>
      <c r="N1" s="24">
        <f t="shared" si="0"/>
        <v>45335</v>
      </c>
      <c r="O1" s="24">
        <f t="shared" si="0"/>
        <v>45336</v>
      </c>
      <c r="P1" s="24">
        <f t="shared" si="0"/>
        <v>45337</v>
      </c>
      <c r="Q1" s="24">
        <f t="shared" si="0"/>
        <v>45338</v>
      </c>
      <c r="R1" s="24">
        <f t="shared" si="0"/>
        <v>45339</v>
      </c>
      <c r="S1" s="24">
        <f t="shared" si="0"/>
        <v>45340</v>
      </c>
      <c r="T1" s="24">
        <f t="shared" si="0"/>
        <v>45341</v>
      </c>
      <c r="U1" s="24">
        <f t="shared" si="0"/>
        <v>45342</v>
      </c>
      <c r="V1" s="24">
        <f t="shared" si="0"/>
        <v>45343</v>
      </c>
      <c r="W1" s="24">
        <f t="shared" si="0"/>
        <v>45344</v>
      </c>
      <c r="X1" s="24">
        <f t="shared" si="0"/>
        <v>45345</v>
      </c>
      <c r="Y1" s="24">
        <f t="shared" si="0"/>
        <v>45346</v>
      </c>
      <c r="Z1" s="24">
        <f t="shared" si="0"/>
        <v>45347</v>
      </c>
      <c r="AA1" s="24">
        <f t="shared" si="0"/>
        <v>45348</v>
      </c>
      <c r="AB1" s="24">
        <f t="shared" si="0"/>
        <v>45349</v>
      </c>
      <c r="AC1" s="24">
        <f t="shared" si="0"/>
        <v>45350</v>
      </c>
      <c r="AD1" s="38">
        <f t="shared" si="0"/>
        <v>45351</v>
      </c>
    </row>
    <row r="2" spans="1:30">
      <c r="A2" s="4"/>
      <c r="B2" s="5">
        <v>45323</v>
      </c>
      <c r="C2" s="5">
        <f t="shared" si="0"/>
        <v>45324</v>
      </c>
      <c r="D2" s="5">
        <f>+C2+1</f>
        <v>45325</v>
      </c>
      <c r="E2" s="5">
        <f t="shared" si="0"/>
        <v>45326</v>
      </c>
      <c r="F2" s="5">
        <f t="shared" si="0"/>
        <v>45327</v>
      </c>
      <c r="G2" s="5">
        <f t="shared" si="0"/>
        <v>45328</v>
      </c>
      <c r="H2" s="5">
        <f t="shared" si="0"/>
        <v>45329</v>
      </c>
      <c r="I2" s="5">
        <f t="shared" si="0"/>
        <v>45330</v>
      </c>
      <c r="J2" s="5">
        <f t="shared" si="0"/>
        <v>45331</v>
      </c>
      <c r="K2" s="5">
        <f t="shared" si="0"/>
        <v>45332</v>
      </c>
      <c r="L2" s="5">
        <f t="shared" si="0"/>
        <v>45333</v>
      </c>
      <c r="M2" s="5">
        <f t="shared" si="0"/>
        <v>45334</v>
      </c>
      <c r="N2" s="5">
        <f t="shared" si="0"/>
        <v>45335</v>
      </c>
      <c r="O2" s="5">
        <f t="shared" si="0"/>
        <v>45336</v>
      </c>
      <c r="P2" s="5">
        <f t="shared" si="0"/>
        <v>45337</v>
      </c>
      <c r="Q2" s="5">
        <f t="shared" si="0"/>
        <v>45338</v>
      </c>
      <c r="R2" s="5">
        <f t="shared" si="0"/>
        <v>45339</v>
      </c>
      <c r="S2" s="5">
        <f t="shared" si="0"/>
        <v>45340</v>
      </c>
      <c r="T2" s="5">
        <f t="shared" si="0"/>
        <v>45341</v>
      </c>
      <c r="U2" s="5">
        <f t="shared" si="0"/>
        <v>45342</v>
      </c>
      <c r="V2" s="5">
        <f t="shared" si="0"/>
        <v>45343</v>
      </c>
      <c r="W2" s="5">
        <f t="shared" si="0"/>
        <v>45344</v>
      </c>
      <c r="X2" s="5">
        <f t="shared" si="0"/>
        <v>45345</v>
      </c>
      <c r="Y2" s="5">
        <f t="shared" si="0"/>
        <v>45346</v>
      </c>
      <c r="Z2" s="5">
        <f t="shared" si="0"/>
        <v>45347</v>
      </c>
      <c r="AA2" s="5">
        <f t="shared" si="0"/>
        <v>45348</v>
      </c>
      <c r="AB2" s="5">
        <f t="shared" si="0"/>
        <v>45349</v>
      </c>
      <c r="AC2" s="5">
        <f t="shared" si="0"/>
        <v>45350</v>
      </c>
      <c r="AD2" s="39">
        <f t="shared" si="0"/>
        <v>45351</v>
      </c>
    </row>
    <row r="3" spans="1:30" ht="13.5" thickBot="1">
      <c r="A3" s="6"/>
      <c r="B3" s="7"/>
      <c r="C3" s="7"/>
      <c r="D3" s="16"/>
      <c r="E3" s="16"/>
      <c r="F3" s="7"/>
      <c r="G3" s="7"/>
      <c r="H3" s="7"/>
      <c r="I3" s="7"/>
      <c r="J3" s="7"/>
      <c r="K3" s="16"/>
      <c r="L3" s="16"/>
      <c r="M3" s="42"/>
      <c r="N3" s="42"/>
      <c r="O3" s="7"/>
      <c r="P3" s="7"/>
      <c r="Q3" s="7"/>
      <c r="R3" s="16"/>
      <c r="S3" s="16"/>
      <c r="T3" s="7"/>
      <c r="U3" s="7"/>
      <c r="V3" s="7"/>
      <c r="W3" s="7"/>
      <c r="X3" s="7"/>
      <c r="Y3" s="16"/>
      <c r="Z3" s="16"/>
      <c r="AA3" s="7"/>
      <c r="AB3" s="7"/>
      <c r="AC3" s="7"/>
      <c r="AD3" s="56"/>
    </row>
    <row r="4" spans="1:30" ht="15">
      <c r="A4" s="9" t="s">
        <v>0</v>
      </c>
      <c r="B4" s="1"/>
      <c r="C4" s="1"/>
      <c r="D4" s="14"/>
      <c r="E4" s="41"/>
      <c r="F4" s="1"/>
      <c r="G4" s="1"/>
      <c r="H4" s="1"/>
      <c r="I4" s="1"/>
      <c r="J4" s="1"/>
      <c r="K4" s="55"/>
      <c r="L4" s="41"/>
      <c r="M4" s="25"/>
      <c r="N4" s="25"/>
      <c r="O4" s="1"/>
      <c r="P4" s="1"/>
      <c r="Q4" s="1"/>
      <c r="R4" s="14"/>
      <c r="S4" s="41"/>
      <c r="T4" s="30"/>
      <c r="U4" s="30"/>
      <c r="V4" s="1"/>
      <c r="W4" s="1"/>
      <c r="X4" s="30"/>
      <c r="Y4" s="14"/>
      <c r="Z4" s="41"/>
      <c r="AA4" s="1"/>
      <c r="AB4" s="1"/>
      <c r="AC4" s="30"/>
      <c r="AD4" s="57"/>
    </row>
    <row r="5" spans="1:30" ht="15">
      <c r="A5" s="10"/>
      <c r="B5" s="1"/>
      <c r="C5" s="1"/>
      <c r="D5" s="14"/>
      <c r="E5" s="14"/>
      <c r="F5" s="1"/>
      <c r="G5" s="1"/>
      <c r="H5" s="1"/>
      <c r="I5" s="1"/>
      <c r="J5" s="1"/>
      <c r="K5" s="15"/>
      <c r="L5" s="14"/>
      <c r="M5" s="25"/>
      <c r="N5" s="25"/>
      <c r="O5" s="1"/>
      <c r="P5" s="1"/>
      <c r="Q5" s="1"/>
      <c r="R5" s="14"/>
      <c r="S5" s="14"/>
      <c r="T5" s="28"/>
      <c r="U5" s="28"/>
      <c r="V5" s="25"/>
      <c r="W5" s="1"/>
      <c r="X5" s="28"/>
      <c r="Y5" s="14"/>
      <c r="Z5" s="14"/>
      <c r="AA5" s="1"/>
      <c r="AB5" s="1"/>
      <c r="AC5" s="28"/>
      <c r="AD5" s="58"/>
    </row>
    <row r="6" spans="1:30" ht="15" customHeight="1">
      <c r="A6" s="11" t="s">
        <v>1</v>
      </c>
      <c r="B6" s="18">
        <v>177831</v>
      </c>
      <c r="C6" s="18">
        <v>189489</v>
      </c>
      <c r="D6" s="234">
        <v>0</v>
      </c>
      <c r="E6" s="234"/>
      <c r="F6" s="18">
        <v>313723</v>
      </c>
      <c r="G6" s="18">
        <v>225348</v>
      </c>
      <c r="H6" s="18">
        <v>231883</v>
      </c>
      <c r="I6" s="18">
        <v>189290</v>
      </c>
      <c r="J6" s="18">
        <v>109821</v>
      </c>
      <c r="K6" s="245">
        <v>0</v>
      </c>
      <c r="L6" s="245"/>
      <c r="M6" s="33">
        <v>122058</v>
      </c>
      <c r="N6" s="33">
        <v>67899</v>
      </c>
      <c r="O6" s="47">
        <v>82634</v>
      </c>
      <c r="P6" s="47">
        <v>84531</v>
      </c>
      <c r="Q6" s="47">
        <v>118919</v>
      </c>
      <c r="R6" s="245">
        <v>0</v>
      </c>
      <c r="S6" s="245"/>
      <c r="T6" s="33">
        <v>170583</v>
      </c>
      <c r="U6" s="33">
        <v>151039</v>
      </c>
      <c r="V6" s="33">
        <v>116379</v>
      </c>
      <c r="W6" s="33">
        <v>134841</v>
      </c>
      <c r="X6" s="33">
        <v>148130</v>
      </c>
      <c r="Y6" s="245">
        <v>0</v>
      </c>
      <c r="Z6" s="245"/>
      <c r="AA6" s="47">
        <v>162278</v>
      </c>
      <c r="AB6" s="47">
        <v>106976</v>
      </c>
      <c r="AC6" s="33">
        <v>129676</v>
      </c>
      <c r="AD6" s="59">
        <v>165891</v>
      </c>
    </row>
    <row r="7" spans="1:30" ht="15">
      <c r="A7" s="12"/>
      <c r="B7" s="19"/>
      <c r="C7" s="19"/>
      <c r="D7" s="44"/>
      <c r="E7" s="14"/>
      <c r="F7" s="19"/>
      <c r="G7" s="19"/>
      <c r="H7" s="19"/>
      <c r="I7" s="19"/>
      <c r="J7" s="19"/>
      <c r="K7" s="15"/>
      <c r="L7" s="14"/>
      <c r="M7" s="32"/>
      <c r="N7" s="32"/>
      <c r="O7" s="31"/>
      <c r="P7" s="31"/>
      <c r="Q7" s="31"/>
      <c r="R7" s="35"/>
      <c r="S7" s="14"/>
      <c r="T7" s="28"/>
      <c r="U7" s="28"/>
      <c r="V7" s="32"/>
      <c r="W7" s="31"/>
      <c r="X7" s="28"/>
      <c r="Y7" s="35"/>
      <c r="Z7" s="14"/>
      <c r="AA7" s="31"/>
      <c r="AB7" s="31"/>
      <c r="AC7" s="28"/>
      <c r="AD7" s="58"/>
    </row>
    <row r="8" spans="1:30" ht="15" customHeight="1">
      <c r="A8" s="12" t="s">
        <v>2</v>
      </c>
      <c r="B8" s="18">
        <v>130873</v>
      </c>
      <c r="C8" s="18">
        <v>117700</v>
      </c>
      <c r="D8" s="234">
        <v>137062</v>
      </c>
      <c r="E8" s="234"/>
      <c r="F8" s="18">
        <v>64352</v>
      </c>
      <c r="G8" s="18">
        <v>167786</v>
      </c>
      <c r="H8" s="18">
        <v>204224</v>
      </c>
      <c r="I8" s="18">
        <v>243550</v>
      </c>
      <c r="J8" s="18">
        <v>230526</v>
      </c>
      <c r="K8" s="245">
        <v>199971</v>
      </c>
      <c r="L8" s="245"/>
      <c r="M8" s="33">
        <v>101683</v>
      </c>
      <c r="N8" s="33">
        <v>80470</v>
      </c>
      <c r="O8" s="47">
        <v>40499</v>
      </c>
      <c r="P8" s="47">
        <v>25318</v>
      </c>
      <c r="Q8" s="47">
        <v>31653</v>
      </c>
      <c r="R8" s="241">
        <v>37108</v>
      </c>
      <c r="S8" s="241"/>
      <c r="T8" s="33">
        <v>26946</v>
      </c>
      <c r="U8" s="33">
        <v>33851</v>
      </c>
      <c r="V8" s="33">
        <v>35709</v>
      </c>
      <c r="W8" s="47">
        <v>26952</v>
      </c>
      <c r="X8" s="33">
        <v>32758</v>
      </c>
      <c r="Y8" s="245">
        <v>40837</v>
      </c>
      <c r="Z8" s="245"/>
      <c r="AA8" s="33">
        <v>32830</v>
      </c>
      <c r="AB8" s="33">
        <v>43070</v>
      </c>
      <c r="AC8" s="33">
        <v>36606</v>
      </c>
      <c r="AD8" s="59">
        <v>35796</v>
      </c>
    </row>
    <row r="9" spans="1:30" ht="15">
      <c r="A9" s="12"/>
      <c r="B9" s="31"/>
      <c r="C9" s="31"/>
      <c r="D9" s="35"/>
      <c r="E9" s="14"/>
      <c r="F9" s="31"/>
      <c r="G9" s="31"/>
      <c r="H9" s="31"/>
      <c r="I9" s="31"/>
      <c r="J9" s="31"/>
      <c r="K9" s="15"/>
      <c r="L9" s="14"/>
      <c r="M9" s="32"/>
      <c r="N9" s="32"/>
      <c r="O9" s="31"/>
      <c r="P9" s="31"/>
      <c r="Q9" s="31"/>
      <c r="R9" s="35"/>
      <c r="S9" s="14"/>
      <c r="T9" s="28"/>
      <c r="U9" s="28"/>
      <c r="V9" s="32"/>
      <c r="W9" s="31"/>
      <c r="X9" s="28"/>
      <c r="Y9" s="35"/>
      <c r="Z9" s="14"/>
      <c r="AA9" s="31"/>
      <c r="AB9" s="31"/>
      <c r="AC9" s="28"/>
      <c r="AD9" s="58"/>
    </row>
    <row r="10" spans="1:30" s="37" customFormat="1">
      <c r="A10" s="36" t="s">
        <v>3</v>
      </c>
      <c r="B10" s="21">
        <f>+B6+B8</f>
        <v>308704</v>
      </c>
      <c r="C10" s="21">
        <f t="shared" ref="C10:AC10" si="1">+C6+C8</f>
        <v>307189</v>
      </c>
      <c r="D10" s="244">
        <f>+D6+D8</f>
        <v>137062</v>
      </c>
      <c r="E10" s="244"/>
      <c r="F10" s="21">
        <f t="shared" si="1"/>
        <v>378075</v>
      </c>
      <c r="G10" s="21">
        <f t="shared" si="1"/>
        <v>393134</v>
      </c>
      <c r="H10" s="21">
        <f t="shared" si="1"/>
        <v>436107</v>
      </c>
      <c r="I10" s="21">
        <f t="shared" si="1"/>
        <v>432840</v>
      </c>
      <c r="J10" s="21">
        <f t="shared" si="1"/>
        <v>340347</v>
      </c>
      <c r="K10" s="239">
        <f t="shared" si="1"/>
        <v>199971</v>
      </c>
      <c r="L10" s="239"/>
      <c r="M10" s="21">
        <f t="shared" si="1"/>
        <v>223741</v>
      </c>
      <c r="N10" s="21">
        <f t="shared" si="1"/>
        <v>148369</v>
      </c>
      <c r="O10" s="21">
        <f t="shared" si="1"/>
        <v>123133</v>
      </c>
      <c r="P10" s="21">
        <f t="shared" si="1"/>
        <v>109849</v>
      </c>
      <c r="Q10" s="21">
        <f t="shared" si="1"/>
        <v>150572</v>
      </c>
      <c r="R10" s="244">
        <f t="shared" si="1"/>
        <v>37108</v>
      </c>
      <c r="S10" s="244"/>
      <c r="T10" s="21">
        <f t="shared" si="1"/>
        <v>197529</v>
      </c>
      <c r="U10" s="21">
        <f t="shared" si="1"/>
        <v>184890</v>
      </c>
      <c r="V10" s="21">
        <f t="shared" si="1"/>
        <v>152088</v>
      </c>
      <c r="W10" s="21">
        <f t="shared" si="1"/>
        <v>161793</v>
      </c>
      <c r="X10" s="21">
        <f t="shared" si="1"/>
        <v>180888</v>
      </c>
      <c r="Y10" s="244">
        <f t="shared" si="1"/>
        <v>40837</v>
      </c>
      <c r="Z10" s="244"/>
      <c r="AA10" s="21">
        <f t="shared" si="1"/>
        <v>195108</v>
      </c>
      <c r="AB10" s="21">
        <f t="shared" si="1"/>
        <v>150046</v>
      </c>
      <c r="AC10" s="21">
        <f t="shared" si="1"/>
        <v>166282</v>
      </c>
      <c r="AD10" s="60">
        <f t="shared" ref="AD10" si="2">+AD6+AD8</f>
        <v>201687</v>
      </c>
    </row>
    <row r="11" spans="1:30" ht="13.5" thickBot="1">
      <c r="A11" s="13"/>
      <c r="B11" s="7"/>
      <c r="C11" s="7"/>
      <c r="D11" s="16"/>
      <c r="E11" s="16"/>
      <c r="F11" s="7"/>
      <c r="G11" s="7"/>
      <c r="H11" s="7"/>
      <c r="I11" s="7"/>
      <c r="J11" s="7"/>
      <c r="K11" s="17"/>
      <c r="L11" s="16"/>
      <c r="M11" s="42"/>
      <c r="N11" s="42"/>
      <c r="O11" s="7"/>
      <c r="P11" s="7"/>
      <c r="Q11" s="7"/>
      <c r="R11" s="16"/>
      <c r="S11" s="16"/>
      <c r="T11" s="29"/>
      <c r="U11" s="29"/>
      <c r="V11" s="7"/>
      <c r="W11" s="7"/>
      <c r="X11" s="29"/>
      <c r="Y11" s="16"/>
      <c r="Z11" s="16"/>
      <c r="AA11" s="7"/>
      <c r="AB11" s="7"/>
      <c r="AC11" s="29"/>
      <c r="AD11" s="61"/>
    </row>
    <row r="13" spans="1:30">
      <c r="X13" s="23"/>
    </row>
    <row r="14" spans="1:30">
      <c r="R14" s="23"/>
    </row>
    <row r="15" spans="1:30">
      <c r="G15" s="34"/>
      <c r="M15" s="40"/>
      <c r="N15" s="40"/>
      <c r="O15" s="40"/>
      <c r="P15" s="40"/>
      <c r="Q15" s="40"/>
    </row>
    <row r="20" spans="10:10">
      <c r="J20" s="22"/>
    </row>
  </sheetData>
  <mergeCells count="12">
    <mergeCell ref="D10:E10"/>
    <mergeCell ref="K10:L10"/>
    <mergeCell ref="R10:S10"/>
    <mergeCell ref="Y10:Z10"/>
    <mergeCell ref="D6:E6"/>
    <mergeCell ref="K6:L6"/>
    <mergeCell ref="R6:S6"/>
    <mergeCell ref="Y6:Z6"/>
    <mergeCell ref="D8:E8"/>
    <mergeCell ref="K8:L8"/>
    <mergeCell ref="R8:S8"/>
    <mergeCell ref="Y8:Z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9" sqref="C29"/>
    </sheetView>
  </sheetViews>
  <sheetFormatPr baseColWidth="10" defaultRowHeight="12.75"/>
  <cols>
    <col min="2" max="3" width="7.5703125" bestFit="1" customWidth="1"/>
    <col min="4" max="4" width="6.5703125" bestFit="1" customWidth="1"/>
    <col min="5" max="10" width="7.5703125" bestFit="1" customWidth="1"/>
    <col min="11" max="11" width="6.5703125" bestFit="1" customWidth="1"/>
    <col min="12" max="12" width="7.42578125" bestFit="1" customWidth="1"/>
    <col min="13" max="17" width="7.5703125" bestFit="1" customWidth="1"/>
    <col min="18" max="18" width="6.5703125" bestFit="1" customWidth="1"/>
    <col min="19" max="20" width="7.5703125" bestFit="1" customWidth="1"/>
    <col min="21" max="21" width="7.85546875" customWidth="1"/>
    <col min="22" max="24" width="7.5703125" bestFit="1" customWidth="1"/>
    <col min="25" max="25" width="6.5703125" bestFit="1" customWidth="1"/>
    <col min="26" max="29" width="7.5703125" bestFit="1" customWidth="1"/>
  </cols>
  <sheetData>
    <row r="1" spans="1:29">
      <c r="A1" s="2"/>
      <c r="B1" s="24">
        <v>45352</v>
      </c>
      <c r="C1" s="24">
        <f t="shared" ref="C1:Q2" si="0">+B1+1</f>
        <v>45353</v>
      </c>
      <c r="D1" s="24">
        <f t="shared" si="0"/>
        <v>45354</v>
      </c>
      <c r="E1" s="24">
        <f t="shared" si="0"/>
        <v>45355</v>
      </c>
      <c r="F1" s="24">
        <f t="shared" si="0"/>
        <v>45356</v>
      </c>
      <c r="G1" s="24">
        <f t="shared" si="0"/>
        <v>45357</v>
      </c>
      <c r="H1" s="24">
        <f t="shared" si="0"/>
        <v>45358</v>
      </c>
      <c r="I1" s="24">
        <f t="shared" si="0"/>
        <v>45359</v>
      </c>
      <c r="J1" s="24">
        <f t="shared" si="0"/>
        <v>45360</v>
      </c>
      <c r="K1" s="24">
        <f t="shared" si="0"/>
        <v>45361</v>
      </c>
      <c r="L1" s="24">
        <f t="shared" si="0"/>
        <v>45362</v>
      </c>
      <c r="M1" s="24">
        <f t="shared" si="0"/>
        <v>45363</v>
      </c>
      <c r="N1" s="24">
        <f t="shared" si="0"/>
        <v>45364</v>
      </c>
      <c r="O1" s="24">
        <f t="shared" si="0"/>
        <v>45365</v>
      </c>
      <c r="P1" s="24">
        <f t="shared" si="0"/>
        <v>45366</v>
      </c>
      <c r="Q1" s="24">
        <f t="shared" si="0"/>
        <v>45367</v>
      </c>
      <c r="R1" s="24">
        <f t="shared" ref="R1:AC2" si="1">+Q1+1</f>
        <v>45368</v>
      </c>
      <c r="S1" s="24">
        <f t="shared" si="1"/>
        <v>45369</v>
      </c>
      <c r="T1" s="24">
        <f t="shared" si="1"/>
        <v>45370</v>
      </c>
      <c r="U1" s="24">
        <f t="shared" si="1"/>
        <v>45371</v>
      </c>
      <c r="V1" s="24">
        <f t="shared" si="1"/>
        <v>45372</v>
      </c>
      <c r="W1" s="24">
        <f t="shared" si="1"/>
        <v>45373</v>
      </c>
      <c r="X1" s="24">
        <f t="shared" si="1"/>
        <v>45374</v>
      </c>
      <c r="Y1" s="24">
        <f t="shared" si="1"/>
        <v>45375</v>
      </c>
      <c r="Z1" s="24">
        <f t="shared" si="1"/>
        <v>45376</v>
      </c>
      <c r="AA1" s="24">
        <f t="shared" si="1"/>
        <v>45377</v>
      </c>
      <c r="AB1" s="24">
        <f t="shared" si="1"/>
        <v>45378</v>
      </c>
      <c r="AC1" s="38">
        <f t="shared" si="1"/>
        <v>45379</v>
      </c>
    </row>
    <row r="2" spans="1:29">
      <c r="A2" s="4"/>
      <c r="B2" s="5">
        <v>45352</v>
      </c>
      <c r="C2" s="5">
        <f>+B2+1</f>
        <v>45353</v>
      </c>
      <c r="D2" s="5">
        <f t="shared" si="0"/>
        <v>45354</v>
      </c>
      <c r="E2" s="5">
        <f t="shared" si="0"/>
        <v>45355</v>
      </c>
      <c r="F2" s="5">
        <f t="shared" si="0"/>
        <v>45356</v>
      </c>
      <c r="G2" s="5">
        <f t="shared" si="0"/>
        <v>45357</v>
      </c>
      <c r="H2" s="5">
        <f t="shared" si="0"/>
        <v>45358</v>
      </c>
      <c r="I2" s="5">
        <f t="shared" si="0"/>
        <v>45359</v>
      </c>
      <c r="J2" s="5">
        <f t="shared" si="0"/>
        <v>45360</v>
      </c>
      <c r="K2" s="5">
        <f t="shared" si="0"/>
        <v>45361</v>
      </c>
      <c r="L2" s="5">
        <f t="shared" si="0"/>
        <v>45362</v>
      </c>
      <c r="M2" s="5">
        <f t="shared" si="0"/>
        <v>45363</v>
      </c>
      <c r="N2" s="5">
        <f t="shared" si="0"/>
        <v>45364</v>
      </c>
      <c r="O2" s="5">
        <f t="shared" si="0"/>
        <v>45365</v>
      </c>
      <c r="P2" s="5">
        <f t="shared" si="0"/>
        <v>45366</v>
      </c>
      <c r="Q2" s="5">
        <f t="shared" si="0"/>
        <v>45367</v>
      </c>
      <c r="R2" s="5">
        <f t="shared" si="1"/>
        <v>45368</v>
      </c>
      <c r="S2" s="5">
        <f t="shared" si="1"/>
        <v>45369</v>
      </c>
      <c r="T2" s="5">
        <f t="shared" si="1"/>
        <v>45370</v>
      </c>
      <c r="U2" s="5">
        <f t="shared" si="1"/>
        <v>45371</v>
      </c>
      <c r="V2" s="5">
        <f t="shared" si="1"/>
        <v>45372</v>
      </c>
      <c r="W2" s="5">
        <f t="shared" si="1"/>
        <v>45373</v>
      </c>
      <c r="X2" s="5">
        <f t="shared" si="1"/>
        <v>45374</v>
      </c>
      <c r="Y2" s="5">
        <f t="shared" si="1"/>
        <v>45375</v>
      </c>
      <c r="Z2" s="5">
        <f t="shared" si="1"/>
        <v>45376</v>
      </c>
      <c r="AA2" s="5">
        <f t="shared" si="1"/>
        <v>45377</v>
      </c>
      <c r="AB2" s="5">
        <f t="shared" si="1"/>
        <v>45378</v>
      </c>
      <c r="AC2" s="39">
        <f t="shared" si="1"/>
        <v>45379</v>
      </c>
    </row>
    <row r="3" spans="1:29" ht="13.5" thickBot="1">
      <c r="A3" s="6"/>
      <c r="B3" s="7"/>
      <c r="C3" s="16"/>
      <c r="D3" s="16"/>
      <c r="E3" s="7"/>
      <c r="F3" s="7"/>
      <c r="G3" s="7"/>
      <c r="H3" s="7"/>
      <c r="I3" s="7"/>
      <c r="J3" s="16"/>
      <c r="K3" s="16"/>
      <c r="L3" s="42"/>
      <c r="M3" s="42"/>
      <c r="N3" s="7"/>
      <c r="O3" s="7"/>
      <c r="P3" s="7"/>
      <c r="Q3" s="16"/>
      <c r="R3" s="16"/>
      <c r="S3" s="7"/>
      <c r="T3" s="7"/>
      <c r="U3" s="7"/>
      <c r="V3" s="7"/>
      <c r="W3" s="7"/>
      <c r="X3" s="16"/>
      <c r="Y3" s="16"/>
      <c r="Z3" s="7"/>
      <c r="AA3" s="7"/>
      <c r="AB3" s="7"/>
      <c r="AC3" s="56"/>
    </row>
    <row r="4" spans="1:29" ht="15">
      <c r="A4" s="9" t="s">
        <v>0</v>
      </c>
      <c r="B4" s="1"/>
      <c r="C4" s="14"/>
      <c r="D4" s="41"/>
      <c r="E4" s="1"/>
      <c r="F4" s="1"/>
      <c r="G4" s="1"/>
      <c r="H4" s="1"/>
      <c r="I4" s="1"/>
      <c r="J4" s="55"/>
      <c r="K4" s="41"/>
      <c r="L4" s="25"/>
      <c r="M4" s="25"/>
      <c r="N4" s="1"/>
      <c r="O4" s="1"/>
      <c r="P4" s="1"/>
      <c r="Q4" s="14"/>
      <c r="R4" s="41"/>
      <c r="S4" s="30"/>
      <c r="T4" s="30"/>
      <c r="U4" s="1"/>
      <c r="V4" s="1"/>
      <c r="W4" s="30"/>
      <c r="X4" s="14"/>
      <c r="Y4" s="41"/>
      <c r="Z4" s="1"/>
      <c r="AA4" s="1"/>
      <c r="AB4" s="30"/>
      <c r="AC4" s="57"/>
    </row>
    <row r="5" spans="1:29" ht="15">
      <c r="A5" s="10"/>
      <c r="B5" s="1"/>
      <c r="C5" s="14"/>
      <c r="D5" s="14"/>
      <c r="E5" s="1"/>
      <c r="F5" s="1"/>
      <c r="G5" s="1"/>
      <c r="H5" s="1"/>
      <c r="I5" s="1"/>
      <c r="J5" s="15"/>
      <c r="K5" s="14"/>
      <c r="L5" s="25"/>
      <c r="M5" s="25"/>
      <c r="N5" s="1"/>
      <c r="O5" s="1"/>
      <c r="P5" s="1"/>
      <c r="Q5" s="14"/>
      <c r="R5" s="14"/>
      <c r="S5" s="28"/>
      <c r="T5" s="28"/>
      <c r="U5" s="25"/>
      <c r="V5" s="1"/>
      <c r="W5" s="28"/>
      <c r="X5" s="14"/>
      <c r="Y5" s="14"/>
      <c r="Z5" s="1"/>
      <c r="AA5" s="1"/>
      <c r="AB5" s="28"/>
      <c r="AC5" s="58"/>
    </row>
    <row r="6" spans="1:29" ht="15" customHeight="1">
      <c r="A6" s="11" t="s">
        <v>1</v>
      </c>
      <c r="B6" s="18">
        <v>143834</v>
      </c>
      <c r="C6" s="234"/>
      <c r="D6" s="234"/>
      <c r="E6" s="18">
        <v>167234</v>
      </c>
      <c r="F6" s="18">
        <v>109152</v>
      </c>
      <c r="G6" s="18">
        <v>99904</v>
      </c>
      <c r="H6" s="18">
        <v>95512</v>
      </c>
      <c r="I6" s="18">
        <v>123709</v>
      </c>
      <c r="J6" s="245">
        <v>0</v>
      </c>
      <c r="K6" s="245"/>
      <c r="L6" s="33">
        <v>122241</v>
      </c>
      <c r="M6" s="33">
        <v>124716</v>
      </c>
      <c r="N6" s="47">
        <v>109596</v>
      </c>
      <c r="O6" s="47">
        <v>114222</v>
      </c>
      <c r="P6" s="47">
        <v>114979</v>
      </c>
      <c r="Q6" s="245">
        <v>0</v>
      </c>
      <c r="R6" s="245"/>
      <c r="S6" s="33">
        <v>153516</v>
      </c>
      <c r="T6" s="33">
        <v>139187</v>
      </c>
      <c r="U6" s="33">
        <v>129870</v>
      </c>
      <c r="V6" s="33">
        <v>127874</v>
      </c>
      <c r="W6" s="33">
        <v>128712</v>
      </c>
      <c r="X6" s="245"/>
      <c r="Y6" s="245"/>
      <c r="Z6" s="47">
        <v>145375</v>
      </c>
      <c r="AA6" s="47">
        <v>128491</v>
      </c>
      <c r="AB6" s="33">
        <v>145948</v>
      </c>
      <c r="AC6" s="59">
        <v>131681</v>
      </c>
    </row>
    <row r="7" spans="1:29" ht="15">
      <c r="A7" s="12"/>
      <c r="B7" s="19"/>
      <c r="C7" s="44"/>
      <c r="D7" s="14"/>
      <c r="E7" s="19"/>
      <c r="F7" s="19"/>
      <c r="G7" s="19"/>
      <c r="H7" s="19"/>
      <c r="I7" s="19"/>
      <c r="J7" s="15"/>
      <c r="K7" s="14"/>
      <c r="L7" s="32"/>
      <c r="M7" s="32"/>
      <c r="N7" s="31"/>
      <c r="O7" s="31"/>
      <c r="P7" s="31"/>
      <c r="Q7" s="35"/>
      <c r="R7" s="14"/>
      <c r="S7" s="28"/>
      <c r="T7" s="28"/>
      <c r="U7" s="32"/>
      <c r="V7" s="31"/>
      <c r="W7" s="28"/>
      <c r="X7" s="35"/>
      <c r="Y7" s="14"/>
      <c r="Z7" s="31"/>
      <c r="AA7" s="31"/>
      <c r="AB7" s="28"/>
      <c r="AC7" s="58"/>
    </row>
    <row r="8" spans="1:29" ht="15" customHeight="1">
      <c r="A8" s="12" t="s">
        <v>2</v>
      </c>
      <c r="B8" s="18">
        <v>46840</v>
      </c>
      <c r="C8" s="234">
        <v>52179</v>
      </c>
      <c r="D8" s="234"/>
      <c r="E8" s="18">
        <v>34372</v>
      </c>
      <c r="F8" s="18">
        <v>66432</v>
      </c>
      <c r="G8" s="18">
        <v>35938</v>
      </c>
      <c r="H8" s="18">
        <v>38337</v>
      </c>
      <c r="I8" s="18">
        <v>27229</v>
      </c>
      <c r="J8" s="245">
        <v>53895</v>
      </c>
      <c r="K8" s="245"/>
      <c r="L8" s="33">
        <v>41173</v>
      </c>
      <c r="M8" s="33">
        <v>51376</v>
      </c>
      <c r="N8" s="47">
        <v>44807</v>
      </c>
      <c r="O8" s="47">
        <v>35602</v>
      </c>
      <c r="P8" s="47">
        <v>30881</v>
      </c>
      <c r="Q8" s="241">
        <v>41354</v>
      </c>
      <c r="R8" s="241"/>
      <c r="S8" s="33">
        <v>33281</v>
      </c>
      <c r="T8" s="33">
        <v>34977</v>
      </c>
      <c r="U8" s="33">
        <v>75460</v>
      </c>
      <c r="V8" s="47">
        <v>88709</v>
      </c>
      <c r="W8" s="33">
        <v>63015</v>
      </c>
      <c r="X8" s="245">
        <v>50629</v>
      </c>
      <c r="Y8" s="245"/>
      <c r="Z8" s="33">
        <v>41526</v>
      </c>
      <c r="AA8" s="33">
        <v>67174</v>
      </c>
      <c r="AB8" s="33">
        <v>47739</v>
      </c>
      <c r="AC8" s="59">
        <v>55457</v>
      </c>
    </row>
    <row r="9" spans="1:29" ht="15">
      <c r="A9" s="12"/>
      <c r="B9" s="31"/>
      <c r="C9" s="35"/>
      <c r="D9" s="14"/>
      <c r="E9" s="31"/>
      <c r="F9" s="31"/>
      <c r="G9" s="31"/>
      <c r="H9" s="31"/>
      <c r="I9" s="31"/>
      <c r="J9" s="15"/>
      <c r="K9" s="14"/>
      <c r="L9" s="32"/>
      <c r="M9" s="32"/>
      <c r="N9" s="31"/>
      <c r="O9" s="31"/>
      <c r="P9" s="31"/>
      <c r="Q9" s="35"/>
      <c r="R9" s="14"/>
      <c r="S9" s="28"/>
      <c r="T9" s="28"/>
      <c r="U9" s="32"/>
      <c r="V9" s="31"/>
      <c r="W9" s="28"/>
      <c r="X9" s="35"/>
      <c r="Y9" s="14"/>
      <c r="Z9" s="31"/>
      <c r="AA9" s="31"/>
      <c r="AB9" s="28"/>
      <c r="AC9" s="58"/>
    </row>
    <row r="10" spans="1:29" s="37" customFormat="1">
      <c r="A10" s="36" t="s">
        <v>3</v>
      </c>
      <c r="B10" s="21">
        <f t="shared" ref="B10:AC10" si="2">+B6+B8</f>
        <v>190674</v>
      </c>
      <c r="C10" s="244">
        <f>+C6+C8</f>
        <v>52179</v>
      </c>
      <c r="D10" s="244"/>
      <c r="E10" s="21">
        <f t="shared" si="2"/>
        <v>201606</v>
      </c>
      <c r="F10" s="21">
        <f t="shared" si="2"/>
        <v>175584</v>
      </c>
      <c r="G10" s="21">
        <f t="shared" ref="G10:H10" si="3">+G6+G8</f>
        <v>135842</v>
      </c>
      <c r="H10" s="21">
        <f t="shared" si="3"/>
        <v>133849</v>
      </c>
      <c r="I10" s="21">
        <f t="shared" si="2"/>
        <v>150938</v>
      </c>
      <c r="J10" s="239">
        <f t="shared" si="2"/>
        <v>53895</v>
      </c>
      <c r="K10" s="239"/>
      <c r="L10" s="21">
        <f t="shared" si="2"/>
        <v>163414</v>
      </c>
      <c r="M10" s="21">
        <f t="shared" si="2"/>
        <v>176092</v>
      </c>
      <c r="N10" s="21">
        <f t="shared" si="2"/>
        <v>154403</v>
      </c>
      <c r="O10" s="21">
        <f t="shared" si="2"/>
        <v>149824</v>
      </c>
      <c r="P10" s="21">
        <f t="shared" si="2"/>
        <v>145860</v>
      </c>
      <c r="Q10" s="244">
        <f t="shared" si="2"/>
        <v>41354</v>
      </c>
      <c r="R10" s="244"/>
      <c r="S10" s="21">
        <f t="shared" si="2"/>
        <v>186797</v>
      </c>
      <c r="T10" s="21">
        <f t="shared" si="2"/>
        <v>174164</v>
      </c>
      <c r="U10" s="21">
        <f t="shared" si="2"/>
        <v>205330</v>
      </c>
      <c r="V10" s="21">
        <f t="shared" si="2"/>
        <v>216583</v>
      </c>
      <c r="W10" s="21">
        <f t="shared" si="2"/>
        <v>191727</v>
      </c>
      <c r="X10" s="244">
        <f t="shared" si="2"/>
        <v>50629</v>
      </c>
      <c r="Y10" s="244"/>
      <c r="Z10" s="21">
        <f t="shared" si="2"/>
        <v>186901</v>
      </c>
      <c r="AA10" s="21">
        <f t="shared" si="2"/>
        <v>195665</v>
      </c>
      <c r="AB10" s="21">
        <f t="shared" si="2"/>
        <v>193687</v>
      </c>
      <c r="AC10" s="60">
        <f t="shared" si="2"/>
        <v>187138</v>
      </c>
    </row>
    <row r="11" spans="1:29" ht="13.5" thickBot="1">
      <c r="A11" s="13"/>
      <c r="B11" s="7"/>
      <c r="C11" s="16"/>
      <c r="D11" s="16"/>
      <c r="E11" s="7"/>
      <c r="F11" s="7"/>
      <c r="G11" s="7"/>
      <c r="H11" s="7"/>
      <c r="I11" s="7"/>
      <c r="J11" s="17"/>
      <c r="K11" s="16"/>
      <c r="L11" s="42"/>
      <c r="M11" s="42"/>
      <c r="N11" s="7"/>
      <c r="O11" s="7"/>
      <c r="P11" s="7"/>
      <c r="Q11" s="16"/>
      <c r="R11" s="16"/>
      <c r="S11" s="29"/>
      <c r="T11" s="29"/>
      <c r="U11" s="7"/>
      <c r="V11" s="7"/>
      <c r="W11" s="29"/>
      <c r="X11" s="16"/>
      <c r="Y11" s="16"/>
      <c r="Z11" s="7"/>
      <c r="AA11" s="7"/>
      <c r="AB11" s="29"/>
      <c r="AC11" s="61"/>
    </row>
    <row r="13" spans="1:29">
      <c r="W13" s="23"/>
    </row>
    <row r="14" spans="1:29">
      <c r="Q14" s="23"/>
    </row>
    <row r="15" spans="1:29">
      <c r="F15" s="34"/>
      <c r="L15" s="40"/>
      <c r="M15" s="40"/>
      <c r="N15" s="40"/>
      <c r="O15" s="40"/>
      <c r="P15" s="40"/>
    </row>
    <row r="20" spans="9:9">
      <c r="I20" s="22"/>
    </row>
  </sheetData>
  <mergeCells count="12">
    <mergeCell ref="C10:D10"/>
    <mergeCell ref="J10:K10"/>
    <mergeCell ref="Q10:R10"/>
    <mergeCell ref="X10:Y10"/>
    <mergeCell ref="C6:D6"/>
    <mergeCell ref="J6:K6"/>
    <mergeCell ref="Q6:R6"/>
    <mergeCell ref="X6:Y6"/>
    <mergeCell ref="C8:D8"/>
    <mergeCell ref="J8:K8"/>
    <mergeCell ref="Q8:R8"/>
    <mergeCell ref="X8:Y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W10" sqref="W10"/>
    </sheetView>
  </sheetViews>
  <sheetFormatPr baseColWidth="10" defaultRowHeight="12.75"/>
  <cols>
    <col min="2" max="2" width="6.140625" bestFit="1" customWidth="1"/>
    <col min="3" max="3" width="6.7109375" bestFit="1" customWidth="1"/>
    <col min="4" max="6" width="7.5703125" bestFit="1" customWidth="1"/>
    <col min="7" max="7" width="7.5703125" customWidth="1"/>
    <col min="8" max="10" width="7.5703125" bestFit="1" customWidth="1"/>
    <col min="11" max="11" width="6.5703125" bestFit="1" customWidth="1"/>
    <col min="12" max="17" width="7.5703125" bestFit="1" customWidth="1"/>
    <col min="18" max="18" width="6.5703125" bestFit="1" customWidth="1"/>
    <col min="19" max="19" width="7.42578125" bestFit="1" customWidth="1"/>
    <col min="20" max="24" width="7.5703125" bestFit="1" customWidth="1"/>
    <col min="25" max="25" width="6.5703125" bestFit="1" customWidth="1"/>
    <col min="26" max="27" width="7.5703125" bestFit="1" customWidth="1"/>
    <col min="28" max="28" width="7.85546875" customWidth="1"/>
    <col min="29" max="31" width="7.5703125" bestFit="1" customWidth="1"/>
    <col min="32" max="32" width="6.5703125" bestFit="1" customWidth="1"/>
    <col min="33" max="34" width="7.5703125" bestFit="1" customWidth="1"/>
  </cols>
  <sheetData>
    <row r="1" spans="1:34">
      <c r="A1" s="2"/>
      <c r="B1" s="24">
        <v>45380</v>
      </c>
      <c r="C1" s="24">
        <f t="shared" ref="C1:AH2" si="0">+B1+1</f>
        <v>45381</v>
      </c>
      <c r="D1" s="24">
        <f t="shared" ref="D1" si="1">+C1+1</f>
        <v>45382</v>
      </c>
      <c r="E1" s="24">
        <f t="shared" ref="E1" si="2">+D1+1</f>
        <v>45383</v>
      </c>
      <c r="F1" s="24">
        <f t="shared" ref="F1" si="3">+E1+1</f>
        <v>45384</v>
      </c>
      <c r="G1" s="24">
        <f t="shared" ref="G1" si="4">+F1+1</f>
        <v>45385</v>
      </c>
      <c r="H1" s="24">
        <f t="shared" ref="H1" si="5">+G1+1</f>
        <v>45386</v>
      </c>
      <c r="I1" s="24">
        <f t="shared" ref="I1" si="6">+H1+1</f>
        <v>45387</v>
      </c>
      <c r="J1" s="24">
        <f t="shared" ref="J1" si="7">+I1+1</f>
        <v>45388</v>
      </c>
      <c r="K1" s="24">
        <f t="shared" ref="K1" si="8">+J1+1</f>
        <v>45389</v>
      </c>
      <c r="L1" s="24">
        <f t="shared" ref="L1" si="9">+K1+1</f>
        <v>45390</v>
      </c>
      <c r="M1" s="24">
        <f t="shared" si="0"/>
        <v>45391</v>
      </c>
      <c r="N1" s="24">
        <f t="shared" si="0"/>
        <v>45392</v>
      </c>
      <c r="O1" s="24">
        <f t="shared" si="0"/>
        <v>45393</v>
      </c>
      <c r="P1" s="24">
        <f t="shared" si="0"/>
        <v>45394</v>
      </c>
      <c r="Q1" s="24">
        <f t="shared" si="0"/>
        <v>45395</v>
      </c>
      <c r="R1" s="24">
        <f t="shared" si="0"/>
        <v>45396</v>
      </c>
      <c r="S1" s="24">
        <f t="shared" si="0"/>
        <v>45397</v>
      </c>
      <c r="T1" s="24">
        <f t="shared" si="0"/>
        <v>45398</v>
      </c>
      <c r="U1" s="24">
        <f t="shared" si="0"/>
        <v>45399</v>
      </c>
      <c r="V1" s="24">
        <f t="shared" si="0"/>
        <v>45400</v>
      </c>
      <c r="W1" s="24">
        <f t="shared" si="0"/>
        <v>45401</v>
      </c>
      <c r="X1" s="24">
        <f t="shared" si="0"/>
        <v>45402</v>
      </c>
      <c r="Y1" s="24">
        <f t="shared" si="0"/>
        <v>45403</v>
      </c>
      <c r="Z1" s="24">
        <f t="shared" si="0"/>
        <v>45404</v>
      </c>
      <c r="AA1" s="24">
        <f t="shared" si="0"/>
        <v>45405</v>
      </c>
      <c r="AB1" s="24">
        <f t="shared" si="0"/>
        <v>45406</v>
      </c>
      <c r="AC1" s="24">
        <f t="shared" si="0"/>
        <v>45407</v>
      </c>
      <c r="AD1" s="24">
        <f t="shared" si="0"/>
        <v>45408</v>
      </c>
      <c r="AE1" s="24">
        <f t="shared" si="0"/>
        <v>45409</v>
      </c>
      <c r="AF1" s="24">
        <f t="shared" si="0"/>
        <v>45410</v>
      </c>
      <c r="AG1" s="24">
        <f t="shared" si="0"/>
        <v>45411</v>
      </c>
      <c r="AH1" s="24">
        <f t="shared" si="0"/>
        <v>45412</v>
      </c>
    </row>
    <row r="2" spans="1:34">
      <c r="A2" s="4"/>
      <c r="B2" s="5">
        <v>45380</v>
      </c>
      <c r="C2" s="5">
        <f t="shared" si="0"/>
        <v>45381</v>
      </c>
      <c r="D2" s="5">
        <f t="shared" ref="D2" si="10">+C2+1</f>
        <v>45382</v>
      </c>
      <c r="E2" s="5">
        <f t="shared" ref="E2" si="11">+D2+1</f>
        <v>45383</v>
      </c>
      <c r="F2" s="5">
        <f t="shared" ref="F2" si="12">+E2+1</f>
        <v>45384</v>
      </c>
      <c r="G2" s="5">
        <f t="shared" ref="G2" si="13">+F2+1</f>
        <v>45385</v>
      </c>
      <c r="H2" s="5">
        <f t="shared" ref="H2" si="14">+G2+1</f>
        <v>45386</v>
      </c>
      <c r="I2" s="5">
        <f t="shared" ref="I2" si="15">+H2+1</f>
        <v>45387</v>
      </c>
      <c r="J2" s="5">
        <f t="shared" ref="J2" si="16">+I2+1</f>
        <v>45388</v>
      </c>
      <c r="K2" s="5">
        <f t="shared" ref="K2" si="17">+J2+1</f>
        <v>45389</v>
      </c>
      <c r="L2" s="5">
        <f t="shared" ref="L2" si="18">+K2+1</f>
        <v>45390</v>
      </c>
      <c r="M2" s="5">
        <f t="shared" ref="M2" si="19">+L2+1</f>
        <v>45391</v>
      </c>
      <c r="N2" s="5">
        <f t="shared" ref="N2" si="20">+M2+1</f>
        <v>45392</v>
      </c>
      <c r="O2" s="5">
        <f t="shared" ref="O2" si="21">+N2+1</f>
        <v>45393</v>
      </c>
      <c r="P2" s="5">
        <f t="shared" ref="P2" si="22">+O2+1</f>
        <v>45394</v>
      </c>
      <c r="Q2" s="5">
        <f t="shared" si="0"/>
        <v>45395</v>
      </c>
      <c r="R2" s="5">
        <f t="shared" si="0"/>
        <v>45396</v>
      </c>
      <c r="S2" s="5">
        <f t="shared" si="0"/>
        <v>45397</v>
      </c>
      <c r="T2" s="5">
        <f t="shared" si="0"/>
        <v>45398</v>
      </c>
      <c r="U2" s="5">
        <f t="shared" si="0"/>
        <v>45399</v>
      </c>
      <c r="V2" s="5">
        <f t="shared" si="0"/>
        <v>45400</v>
      </c>
      <c r="W2" s="5">
        <f t="shared" si="0"/>
        <v>45401</v>
      </c>
      <c r="X2" s="5">
        <f t="shared" si="0"/>
        <v>45402</v>
      </c>
      <c r="Y2" s="5">
        <f t="shared" si="0"/>
        <v>45403</v>
      </c>
      <c r="Z2" s="5">
        <f t="shared" si="0"/>
        <v>45404</v>
      </c>
      <c r="AA2" s="5">
        <f t="shared" si="0"/>
        <v>45405</v>
      </c>
      <c r="AB2" s="5">
        <f t="shared" si="0"/>
        <v>45406</v>
      </c>
      <c r="AC2" s="5">
        <f t="shared" si="0"/>
        <v>45407</v>
      </c>
      <c r="AD2" s="5">
        <f t="shared" si="0"/>
        <v>45408</v>
      </c>
      <c r="AE2" s="5">
        <f t="shared" si="0"/>
        <v>45409</v>
      </c>
      <c r="AF2" s="5">
        <f t="shared" si="0"/>
        <v>45410</v>
      </c>
      <c r="AG2" s="5">
        <f t="shared" si="0"/>
        <v>45411</v>
      </c>
      <c r="AH2" s="5">
        <f t="shared" si="0"/>
        <v>45412</v>
      </c>
    </row>
    <row r="3" spans="1:34" ht="13.5" thickBot="1">
      <c r="A3" s="6"/>
      <c r="B3" s="17"/>
      <c r="C3" s="17"/>
      <c r="D3" s="17"/>
      <c r="E3" s="16"/>
      <c r="F3" s="16"/>
      <c r="G3" s="42"/>
      <c r="H3" s="7"/>
      <c r="I3" s="7"/>
      <c r="J3" s="16"/>
      <c r="K3" s="16"/>
      <c r="L3" s="7"/>
      <c r="M3" s="7"/>
      <c r="N3" s="7"/>
      <c r="O3" s="7"/>
      <c r="P3" s="7"/>
      <c r="Q3" s="16"/>
      <c r="R3" s="16"/>
      <c r="S3" s="42"/>
      <c r="T3" s="42"/>
      <c r="U3" s="7"/>
      <c r="V3" s="7"/>
      <c r="W3" s="7"/>
      <c r="X3" s="16"/>
      <c r="Y3" s="16"/>
      <c r="Z3" s="7"/>
      <c r="AA3" s="7"/>
      <c r="AB3" s="7"/>
      <c r="AC3" s="7"/>
      <c r="AD3" s="7"/>
      <c r="AE3" s="16"/>
      <c r="AF3" s="16"/>
      <c r="AG3" s="7"/>
      <c r="AH3" s="7"/>
    </row>
    <row r="4" spans="1:34" ht="15">
      <c r="A4" s="9" t="s">
        <v>0</v>
      </c>
      <c r="B4" s="52"/>
      <c r="C4" s="52"/>
      <c r="D4" s="52"/>
      <c r="E4" s="14"/>
      <c r="F4" s="14"/>
      <c r="G4" s="25"/>
      <c r="H4" s="1"/>
      <c r="I4" s="1"/>
      <c r="J4" s="14"/>
      <c r="K4" s="41"/>
      <c r="L4" s="1"/>
      <c r="M4" s="1"/>
      <c r="N4" s="1"/>
      <c r="O4" s="1"/>
      <c r="P4" s="1"/>
      <c r="Q4" s="55"/>
      <c r="R4" s="41"/>
      <c r="S4" s="25"/>
      <c r="T4" s="25"/>
      <c r="U4" s="1"/>
      <c r="V4" s="1"/>
      <c r="W4" s="1"/>
      <c r="X4" s="14"/>
      <c r="Y4" s="41"/>
      <c r="Z4" s="30"/>
      <c r="AA4" s="30"/>
      <c r="AB4" s="1"/>
      <c r="AC4" s="1"/>
      <c r="AD4" s="30"/>
      <c r="AE4" s="14"/>
      <c r="AF4" s="41"/>
      <c r="AG4" s="1"/>
      <c r="AH4" s="1"/>
    </row>
    <row r="5" spans="1:34" ht="15">
      <c r="A5" s="10"/>
      <c r="B5" s="53"/>
      <c r="C5" s="53"/>
      <c r="D5" s="53"/>
      <c r="E5" s="14"/>
      <c r="F5" s="14"/>
      <c r="G5" s="25"/>
      <c r="H5" s="1"/>
      <c r="I5" s="1"/>
      <c r="J5" s="14"/>
      <c r="K5" s="14"/>
      <c r="L5" s="1"/>
      <c r="M5" s="1"/>
      <c r="N5" s="1"/>
      <c r="O5" s="1"/>
      <c r="P5" s="1"/>
      <c r="Q5" s="15"/>
      <c r="R5" s="14"/>
      <c r="S5" s="25"/>
      <c r="T5" s="25"/>
      <c r="U5" s="1"/>
      <c r="V5" s="1"/>
      <c r="W5" s="1"/>
      <c r="X5" s="14"/>
      <c r="Y5" s="14"/>
      <c r="Z5" s="28"/>
      <c r="AA5" s="28"/>
      <c r="AB5" s="25"/>
      <c r="AC5" s="1"/>
      <c r="AD5" s="28"/>
      <c r="AE5" s="14"/>
      <c r="AF5" s="14"/>
      <c r="AG5" s="1"/>
      <c r="AH5" s="1"/>
    </row>
    <row r="6" spans="1:34" ht="15" customHeight="1">
      <c r="A6" s="11" t="s">
        <v>1</v>
      </c>
      <c r="B6" s="241">
        <v>354572</v>
      </c>
      <c r="C6" s="241"/>
      <c r="D6" s="241"/>
      <c r="E6" s="241"/>
      <c r="F6" s="241"/>
      <c r="G6" s="18">
        <v>62516</v>
      </c>
      <c r="H6" s="18">
        <v>74015</v>
      </c>
      <c r="I6" s="18">
        <v>112775</v>
      </c>
      <c r="J6" s="234">
        <v>0</v>
      </c>
      <c r="K6" s="234"/>
      <c r="L6" s="18">
        <v>202818</v>
      </c>
      <c r="M6" s="18">
        <v>168333</v>
      </c>
      <c r="N6" s="18">
        <v>158473</v>
      </c>
      <c r="O6" s="18">
        <v>162786</v>
      </c>
      <c r="P6" s="18">
        <v>141116</v>
      </c>
      <c r="Q6" s="245">
        <v>0</v>
      </c>
      <c r="R6" s="245"/>
      <c r="S6" s="33">
        <v>126960</v>
      </c>
      <c r="T6" s="33">
        <v>125857</v>
      </c>
      <c r="U6" s="47">
        <v>151302</v>
      </c>
      <c r="V6" s="47">
        <v>154288</v>
      </c>
      <c r="W6" s="47">
        <v>176857</v>
      </c>
      <c r="X6" s="245">
        <v>0</v>
      </c>
      <c r="Y6" s="245"/>
      <c r="Z6" s="33">
        <v>157159</v>
      </c>
      <c r="AA6" s="33">
        <v>165913</v>
      </c>
      <c r="AB6" s="33">
        <v>169430</v>
      </c>
      <c r="AC6" s="33">
        <v>137578</v>
      </c>
      <c r="AD6" s="33">
        <v>123185</v>
      </c>
      <c r="AE6" s="245">
        <v>0</v>
      </c>
      <c r="AF6" s="245"/>
      <c r="AG6" s="47">
        <v>144579</v>
      </c>
      <c r="AH6" s="47">
        <v>118876</v>
      </c>
    </row>
    <row r="7" spans="1:34" ht="15">
      <c r="A7" s="12"/>
      <c r="B7" s="54"/>
      <c r="C7" s="54"/>
      <c r="D7" s="54"/>
      <c r="E7" s="44"/>
      <c r="F7" s="44"/>
      <c r="G7" s="26"/>
      <c r="H7" s="19"/>
      <c r="I7" s="19"/>
      <c r="J7" s="44"/>
      <c r="K7" s="14"/>
      <c r="L7" s="19"/>
      <c r="M7" s="19"/>
      <c r="N7" s="19"/>
      <c r="O7" s="19"/>
      <c r="P7" s="18"/>
      <c r="Q7" s="15"/>
      <c r="R7" s="14"/>
      <c r="S7" s="32"/>
      <c r="T7" s="32"/>
      <c r="U7" s="31"/>
      <c r="V7" s="31"/>
      <c r="W7" s="31"/>
      <c r="X7" s="35"/>
      <c r="Y7" s="14"/>
      <c r="Z7" s="28"/>
      <c r="AA7" s="28"/>
      <c r="AB7" s="32"/>
      <c r="AC7" s="31"/>
      <c r="AD7" s="28"/>
      <c r="AE7" s="35"/>
      <c r="AF7" s="14"/>
      <c r="AG7" s="31"/>
      <c r="AH7" s="31"/>
    </row>
    <row r="8" spans="1:34" ht="15" customHeight="1">
      <c r="A8" s="12" t="s">
        <v>2</v>
      </c>
      <c r="B8" s="234">
        <v>47102</v>
      </c>
      <c r="C8" s="234"/>
      <c r="D8" s="234"/>
      <c r="E8" s="234"/>
      <c r="F8" s="234"/>
      <c r="G8" s="18">
        <v>26328</v>
      </c>
      <c r="H8" s="18">
        <v>20670</v>
      </c>
      <c r="I8" s="18">
        <v>37679</v>
      </c>
      <c r="J8" s="234">
        <v>55470</v>
      </c>
      <c r="K8" s="234"/>
      <c r="L8" s="18">
        <v>43543</v>
      </c>
      <c r="M8" s="18">
        <v>102044</v>
      </c>
      <c r="N8" s="18">
        <v>106408</v>
      </c>
      <c r="O8" s="18">
        <v>116917</v>
      </c>
      <c r="P8" s="18">
        <v>142654</v>
      </c>
      <c r="Q8" s="245">
        <v>84221</v>
      </c>
      <c r="R8" s="245"/>
      <c r="S8" s="33">
        <v>66555</v>
      </c>
      <c r="T8" s="33">
        <v>63806</v>
      </c>
      <c r="U8" s="47">
        <v>56681</v>
      </c>
      <c r="V8" s="47">
        <v>73547</v>
      </c>
      <c r="W8" s="47">
        <v>78200</v>
      </c>
      <c r="X8" s="241">
        <v>60982</v>
      </c>
      <c r="Y8" s="241"/>
      <c r="Z8" s="33">
        <v>36450</v>
      </c>
      <c r="AA8" s="33">
        <v>59385</v>
      </c>
      <c r="AB8" s="33">
        <v>81189</v>
      </c>
      <c r="AC8" s="47">
        <v>93292</v>
      </c>
      <c r="AD8" s="33">
        <v>76595</v>
      </c>
      <c r="AE8" s="245">
        <v>50838</v>
      </c>
      <c r="AF8" s="245"/>
      <c r="AG8" s="33">
        <v>38020</v>
      </c>
      <c r="AH8" s="33">
        <v>42772</v>
      </c>
    </row>
    <row r="9" spans="1:34" ht="15">
      <c r="A9" s="12"/>
      <c r="B9" s="54"/>
      <c r="C9" s="54"/>
      <c r="D9" s="54"/>
      <c r="E9" s="35"/>
      <c r="F9" s="35"/>
      <c r="G9" s="32"/>
      <c r="H9" s="31"/>
      <c r="I9" s="31"/>
      <c r="J9" s="35"/>
      <c r="K9" s="14"/>
      <c r="L9" s="31"/>
      <c r="M9" s="31"/>
      <c r="N9" s="31"/>
      <c r="O9" s="31"/>
      <c r="P9" s="31"/>
      <c r="Q9" s="15"/>
      <c r="R9" s="14"/>
      <c r="S9" s="32"/>
      <c r="T9" s="32"/>
      <c r="U9" s="31"/>
      <c r="V9" s="31"/>
      <c r="W9" s="31"/>
      <c r="X9" s="35"/>
      <c r="Y9" s="14"/>
      <c r="Z9" s="28"/>
      <c r="AA9" s="28"/>
      <c r="AB9" s="32"/>
      <c r="AC9" s="31"/>
      <c r="AD9" s="28"/>
      <c r="AE9" s="35"/>
      <c r="AF9" s="14"/>
      <c r="AG9" s="31"/>
      <c r="AH9" s="31"/>
    </row>
    <row r="10" spans="1:34" s="37" customFormat="1">
      <c r="A10" s="36" t="s">
        <v>3</v>
      </c>
      <c r="B10" s="242">
        <f>+B6+B8</f>
        <v>401674</v>
      </c>
      <c r="C10" s="242"/>
      <c r="D10" s="242"/>
      <c r="E10" s="242"/>
      <c r="F10" s="242"/>
      <c r="G10" s="21">
        <f>+G6+G8</f>
        <v>88844</v>
      </c>
      <c r="H10" s="21">
        <f>+H6+H8</f>
        <v>94685</v>
      </c>
      <c r="I10" s="21">
        <f t="shared" ref="I10:AH10" si="23">+I6+I8</f>
        <v>150454</v>
      </c>
      <c r="J10" s="244">
        <f>+J6+J8</f>
        <v>55470</v>
      </c>
      <c r="K10" s="244"/>
      <c r="L10" s="21">
        <f t="shared" si="23"/>
        <v>246361</v>
      </c>
      <c r="M10" s="21">
        <f t="shared" si="23"/>
        <v>270377</v>
      </c>
      <c r="N10" s="21">
        <f t="shared" si="23"/>
        <v>264881</v>
      </c>
      <c r="O10" s="21">
        <f t="shared" si="23"/>
        <v>279703</v>
      </c>
      <c r="P10" s="21">
        <f t="shared" si="23"/>
        <v>283770</v>
      </c>
      <c r="Q10" s="239">
        <f t="shared" si="23"/>
        <v>84221</v>
      </c>
      <c r="R10" s="239"/>
      <c r="S10" s="21">
        <f t="shared" si="23"/>
        <v>193515</v>
      </c>
      <c r="T10" s="21">
        <f t="shared" si="23"/>
        <v>189663</v>
      </c>
      <c r="U10" s="21">
        <f t="shared" si="23"/>
        <v>207983</v>
      </c>
      <c r="V10" s="21">
        <f t="shared" si="23"/>
        <v>227835</v>
      </c>
      <c r="W10" s="21">
        <f t="shared" si="23"/>
        <v>255057</v>
      </c>
      <c r="X10" s="244">
        <f t="shared" si="23"/>
        <v>60982</v>
      </c>
      <c r="Y10" s="244"/>
      <c r="Z10" s="21">
        <f t="shared" si="23"/>
        <v>193609</v>
      </c>
      <c r="AA10" s="21">
        <f t="shared" si="23"/>
        <v>225298</v>
      </c>
      <c r="AB10" s="21">
        <f>+AB6+AB8</f>
        <v>250619</v>
      </c>
      <c r="AC10" s="21">
        <f t="shared" si="23"/>
        <v>230870</v>
      </c>
      <c r="AD10" s="21">
        <f t="shared" si="23"/>
        <v>199780</v>
      </c>
      <c r="AE10" s="244">
        <f t="shared" si="23"/>
        <v>50838</v>
      </c>
      <c r="AF10" s="244"/>
      <c r="AG10" s="21">
        <f t="shared" si="23"/>
        <v>182599</v>
      </c>
      <c r="AH10" s="21">
        <f t="shared" si="23"/>
        <v>161648</v>
      </c>
    </row>
    <row r="11" spans="1:34" ht="13.5" thickBot="1">
      <c r="A11" s="13"/>
      <c r="B11" s="17"/>
      <c r="C11" s="17"/>
      <c r="D11" s="17"/>
      <c r="E11" s="16"/>
      <c r="F11" s="16"/>
      <c r="G11" s="42"/>
      <c r="H11" s="7"/>
      <c r="I11" s="7"/>
      <c r="J11" s="16"/>
      <c r="K11" s="16"/>
      <c r="L11" s="7"/>
      <c r="M11" s="7"/>
      <c r="N11" s="7"/>
      <c r="O11" s="7"/>
      <c r="P11" s="7"/>
      <c r="Q11" s="17"/>
      <c r="R11" s="16"/>
      <c r="S11" s="42"/>
      <c r="T11" s="42"/>
      <c r="U11" s="7"/>
      <c r="V11" s="7"/>
      <c r="W11" s="7"/>
      <c r="X11" s="16"/>
      <c r="Y11" s="16"/>
      <c r="Z11" s="29"/>
      <c r="AA11" s="29"/>
      <c r="AB11" s="7"/>
      <c r="AC11" s="7"/>
      <c r="AD11" s="29"/>
      <c r="AE11" s="16"/>
      <c r="AF11" s="16"/>
      <c r="AG11" s="7"/>
      <c r="AH11" s="7"/>
    </row>
    <row r="13" spans="1:34">
      <c r="AD13" s="23"/>
    </row>
    <row r="14" spans="1:34">
      <c r="X14" s="23"/>
    </row>
    <row r="15" spans="1:34">
      <c r="M15" s="34"/>
      <c r="S15" s="40"/>
      <c r="T15" s="40"/>
      <c r="U15" s="40"/>
      <c r="V15" s="40"/>
      <c r="W15" s="40"/>
    </row>
    <row r="20" spans="16:16">
      <c r="P20" s="22"/>
    </row>
  </sheetData>
  <mergeCells count="15">
    <mergeCell ref="AE10:AF10"/>
    <mergeCell ref="B10:F10"/>
    <mergeCell ref="B6:F6"/>
    <mergeCell ref="B8:F8"/>
    <mergeCell ref="J10:K10"/>
    <mergeCell ref="Q10:R10"/>
    <mergeCell ref="X10:Y10"/>
    <mergeCell ref="AE6:AF6"/>
    <mergeCell ref="J8:K8"/>
    <mergeCell ref="Q8:R8"/>
    <mergeCell ref="X8:Y8"/>
    <mergeCell ref="AE8:AF8"/>
    <mergeCell ref="J6:K6"/>
    <mergeCell ref="Q6:R6"/>
    <mergeCell ref="X6:Y6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baseColWidth="10" defaultRowHeight="12.75"/>
  <cols>
    <col min="2" max="12" width="7.5703125" bestFit="1" customWidth="1"/>
    <col min="13" max="13" width="6.5703125" bestFit="1" customWidth="1"/>
    <col min="14" max="14" width="7.42578125" bestFit="1" customWidth="1"/>
    <col min="15" max="19" width="7.5703125" bestFit="1" customWidth="1"/>
    <col min="20" max="20" width="6.5703125" bestFit="1" customWidth="1"/>
    <col min="21" max="22" width="7.5703125" bestFit="1" customWidth="1"/>
    <col min="23" max="23" width="7.85546875" customWidth="1"/>
    <col min="24" max="26" width="7.5703125" bestFit="1" customWidth="1"/>
    <col min="27" max="27" width="7" bestFit="1" customWidth="1"/>
    <col min="28" max="31" width="7.5703125" bestFit="1" customWidth="1"/>
    <col min="32" max="32" width="6.5703125" bestFit="1" customWidth="1"/>
  </cols>
  <sheetData>
    <row r="1" spans="1:33">
      <c r="A1" s="2"/>
      <c r="B1" s="24">
        <v>45413</v>
      </c>
      <c r="C1" s="24">
        <f t="shared" ref="C1:AF2" si="0">+B1+1</f>
        <v>45414</v>
      </c>
      <c r="D1" s="24">
        <f t="shared" ref="D1:D2" si="1">+C1+1</f>
        <v>45415</v>
      </c>
      <c r="E1" s="24">
        <f>+D1+1</f>
        <v>45416</v>
      </c>
      <c r="F1" s="24">
        <f t="shared" si="0"/>
        <v>45417</v>
      </c>
      <c r="G1" s="24">
        <f t="shared" si="0"/>
        <v>45418</v>
      </c>
      <c r="H1" s="24">
        <f t="shared" si="0"/>
        <v>45419</v>
      </c>
      <c r="I1" s="24">
        <f t="shared" si="0"/>
        <v>45420</v>
      </c>
      <c r="J1" s="24">
        <f t="shared" si="0"/>
        <v>45421</v>
      </c>
      <c r="K1" s="24">
        <f t="shared" si="0"/>
        <v>45422</v>
      </c>
      <c r="L1" s="24">
        <f t="shared" si="0"/>
        <v>45423</v>
      </c>
      <c r="M1" s="24">
        <f t="shared" si="0"/>
        <v>45424</v>
      </c>
      <c r="N1" s="24">
        <f t="shared" si="0"/>
        <v>45425</v>
      </c>
      <c r="O1" s="24">
        <f t="shared" si="0"/>
        <v>45426</v>
      </c>
      <c r="P1" s="24">
        <f t="shared" si="0"/>
        <v>45427</v>
      </c>
      <c r="Q1" s="24">
        <f t="shared" si="0"/>
        <v>45428</v>
      </c>
      <c r="R1" s="24">
        <f t="shared" si="0"/>
        <v>45429</v>
      </c>
      <c r="S1" s="24">
        <f t="shared" si="0"/>
        <v>45430</v>
      </c>
      <c r="T1" s="24">
        <f t="shared" si="0"/>
        <v>45431</v>
      </c>
      <c r="U1" s="24">
        <f t="shared" si="0"/>
        <v>45432</v>
      </c>
      <c r="V1" s="24">
        <f t="shared" si="0"/>
        <v>45433</v>
      </c>
      <c r="W1" s="24">
        <f t="shared" si="0"/>
        <v>45434</v>
      </c>
      <c r="X1" s="24">
        <f t="shared" si="0"/>
        <v>45435</v>
      </c>
      <c r="Y1" s="24">
        <f t="shared" si="0"/>
        <v>45436</v>
      </c>
      <c r="Z1" s="24">
        <f t="shared" si="0"/>
        <v>45437</v>
      </c>
      <c r="AA1" s="24">
        <f t="shared" si="0"/>
        <v>45438</v>
      </c>
      <c r="AB1" s="24">
        <f t="shared" si="0"/>
        <v>45439</v>
      </c>
      <c r="AC1" s="24">
        <f t="shared" si="0"/>
        <v>45440</v>
      </c>
      <c r="AD1" s="38">
        <f t="shared" si="0"/>
        <v>45441</v>
      </c>
      <c r="AE1" s="38">
        <f t="shared" si="0"/>
        <v>45442</v>
      </c>
      <c r="AF1" s="38">
        <f t="shared" si="0"/>
        <v>45443</v>
      </c>
    </row>
    <row r="2" spans="1:33">
      <c r="A2" s="4"/>
      <c r="B2" s="5">
        <v>45413</v>
      </c>
      <c r="C2" s="5">
        <f t="shared" si="0"/>
        <v>45414</v>
      </c>
      <c r="D2" s="5">
        <f t="shared" si="1"/>
        <v>45415</v>
      </c>
      <c r="E2" s="5">
        <f>+D2+1</f>
        <v>45416</v>
      </c>
      <c r="F2" s="5">
        <f t="shared" si="0"/>
        <v>45417</v>
      </c>
      <c r="G2" s="5">
        <f t="shared" si="0"/>
        <v>45418</v>
      </c>
      <c r="H2" s="5">
        <f t="shared" si="0"/>
        <v>45419</v>
      </c>
      <c r="I2" s="5">
        <f t="shared" si="0"/>
        <v>45420</v>
      </c>
      <c r="J2" s="5">
        <f t="shared" si="0"/>
        <v>45421</v>
      </c>
      <c r="K2" s="5">
        <f t="shared" si="0"/>
        <v>45422</v>
      </c>
      <c r="L2" s="5">
        <f t="shared" si="0"/>
        <v>45423</v>
      </c>
      <c r="M2" s="5">
        <f t="shared" si="0"/>
        <v>45424</v>
      </c>
      <c r="N2" s="5">
        <f t="shared" si="0"/>
        <v>45425</v>
      </c>
      <c r="O2" s="5">
        <f t="shared" si="0"/>
        <v>45426</v>
      </c>
      <c r="P2" s="5">
        <f t="shared" si="0"/>
        <v>45427</v>
      </c>
      <c r="Q2" s="5">
        <f t="shared" si="0"/>
        <v>45428</v>
      </c>
      <c r="R2" s="5">
        <f t="shared" si="0"/>
        <v>45429</v>
      </c>
      <c r="S2" s="5">
        <f t="shared" si="0"/>
        <v>45430</v>
      </c>
      <c r="T2" s="5">
        <f t="shared" si="0"/>
        <v>45431</v>
      </c>
      <c r="U2" s="5">
        <f t="shared" si="0"/>
        <v>45432</v>
      </c>
      <c r="V2" s="5">
        <f t="shared" si="0"/>
        <v>45433</v>
      </c>
      <c r="W2" s="5">
        <f t="shared" si="0"/>
        <v>45434</v>
      </c>
      <c r="X2" s="5">
        <f t="shared" si="0"/>
        <v>45435</v>
      </c>
      <c r="Y2" s="5">
        <f t="shared" si="0"/>
        <v>45436</v>
      </c>
      <c r="Z2" s="5">
        <f t="shared" si="0"/>
        <v>45437</v>
      </c>
      <c r="AA2" s="5">
        <f t="shared" si="0"/>
        <v>45438</v>
      </c>
      <c r="AB2" s="5">
        <f t="shared" si="0"/>
        <v>45439</v>
      </c>
      <c r="AC2" s="5">
        <f t="shared" si="0"/>
        <v>45440</v>
      </c>
      <c r="AD2" s="39">
        <f t="shared" si="0"/>
        <v>45441</v>
      </c>
      <c r="AE2" s="39">
        <f t="shared" si="0"/>
        <v>45442</v>
      </c>
      <c r="AF2" s="39">
        <f t="shared" si="0"/>
        <v>45443</v>
      </c>
    </row>
    <row r="3" spans="1:33" ht="13.5" thickBot="1">
      <c r="A3" s="6"/>
      <c r="B3" s="17"/>
      <c r="C3" s="17"/>
      <c r="D3" s="7"/>
      <c r="E3" s="16"/>
      <c r="F3" s="16"/>
      <c r="G3" s="7"/>
      <c r="H3" s="7"/>
      <c r="I3" s="7"/>
      <c r="J3" s="62"/>
      <c r="K3" s="62"/>
      <c r="L3" s="16"/>
      <c r="M3" s="16"/>
      <c r="N3" s="42"/>
      <c r="O3" s="42"/>
      <c r="P3" s="7"/>
      <c r="Q3" s="7"/>
      <c r="R3" s="7"/>
      <c r="S3" s="16"/>
      <c r="T3" s="16"/>
      <c r="U3" s="7"/>
      <c r="V3" s="7"/>
      <c r="W3" s="7"/>
      <c r="X3" s="7"/>
      <c r="Y3" s="7"/>
      <c r="Z3" s="16"/>
      <c r="AA3" s="16"/>
      <c r="AB3" s="7"/>
      <c r="AC3" s="7"/>
      <c r="AD3" s="7"/>
      <c r="AE3" s="7"/>
      <c r="AF3" s="7"/>
      <c r="AG3" s="72"/>
    </row>
    <row r="4" spans="1:33" ht="15">
      <c r="A4" s="9" t="s">
        <v>0</v>
      </c>
      <c r="B4" s="247"/>
      <c r="C4" s="247"/>
      <c r="D4" s="1"/>
      <c r="E4" s="14"/>
      <c r="F4" s="41"/>
      <c r="G4" s="1"/>
      <c r="H4" s="1"/>
      <c r="I4" s="1"/>
      <c r="J4" s="63"/>
      <c r="K4" s="63"/>
      <c r="L4" s="55"/>
      <c r="M4" s="41"/>
      <c r="N4" s="25"/>
      <c r="O4" s="25"/>
      <c r="P4" s="1"/>
      <c r="Q4" s="1"/>
      <c r="R4" s="1"/>
      <c r="S4" s="14"/>
      <c r="T4" s="41"/>
      <c r="U4" s="30"/>
      <c r="V4" s="30"/>
      <c r="W4" s="1"/>
      <c r="X4" s="1"/>
      <c r="Y4" s="30"/>
      <c r="Z4" s="14"/>
      <c r="AA4" s="41"/>
      <c r="AB4" s="1"/>
      <c r="AC4" s="1"/>
      <c r="AD4" s="30"/>
      <c r="AE4" s="30"/>
      <c r="AF4" s="30"/>
      <c r="AG4" s="72"/>
    </row>
    <row r="5" spans="1:33" ht="15">
      <c r="A5" s="10"/>
      <c r="B5" s="53"/>
      <c r="C5" s="53"/>
      <c r="D5" s="1"/>
      <c r="E5" s="14"/>
      <c r="F5" s="14"/>
      <c r="G5" s="1"/>
      <c r="H5" s="1"/>
      <c r="I5" s="1"/>
      <c r="J5" s="63"/>
      <c r="K5" s="63"/>
      <c r="L5" s="15"/>
      <c r="M5" s="14"/>
      <c r="N5" s="25"/>
      <c r="O5" s="25"/>
      <c r="P5" s="1"/>
      <c r="Q5" s="1"/>
      <c r="R5" s="1"/>
      <c r="S5" s="14"/>
      <c r="T5" s="14"/>
      <c r="U5" s="28"/>
      <c r="V5" s="28"/>
      <c r="W5" s="25"/>
      <c r="X5" s="1"/>
      <c r="Y5" s="28"/>
      <c r="Z5" s="14"/>
      <c r="AA5" s="14"/>
      <c r="AB5" s="1"/>
      <c r="AC5" s="1"/>
      <c r="AD5" s="28"/>
      <c r="AE5" s="28"/>
      <c r="AF5" s="71"/>
      <c r="AG5" s="72"/>
    </row>
    <row r="6" spans="1:33" ht="15" customHeight="1">
      <c r="A6" s="11" t="s">
        <v>1</v>
      </c>
      <c r="B6" s="234">
        <v>93077</v>
      </c>
      <c r="C6" s="234"/>
      <c r="D6" s="18">
        <v>127145</v>
      </c>
      <c r="E6" s="234">
        <v>0</v>
      </c>
      <c r="F6" s="234"/>
      <c r="G6" s="18">
        <v>144513</v>
      </c>
      <c r="H6" s="18">
        <v>118041</v>
      </c>
      <c r="I6" s="18">
        <v>149898</v>
      </c>
      <c r="J6" s="248">
        <v>207901</v>
      </c>
      <c r="K6" s="248"/>
      <c r="L6" s="237">
        <v>0</v>
      </c>
      <c r="M6" s="237"/>
      <c r="N6" s="66">
        <v>235685</v>
      </c>
      <c r="O6" s="66">
        <v>220314</v>
      </c>
      <c r="P6" s="18">
        <v>173705</v>
      </c>
      <c r="Q6" s="18">
        <v>153632</v>
      </c>
      <c r="R6" s="18">
        <v>126088</v>
      </c>
      <c r="S6" s="237">
        <v>0</v>
      </c>
      <c r="T6" s="237"/>
      <c r="U6" s="66">
        <v>170158</v>
      </c>
      <c r="V6" s="66">
        <v>145261</v>
      </c>
      <c r="W6" s="66">
        <v>182770</v>
      </c>
      <c r="X6" s="66">
        <v>140750</v>
      </c>
      <c r="Y6" s="66">
        <v>164151</v>
      </c>
      <c r="Z6" s="237">
        <v>0</v>
      </c>
      <c r="AA6" s="237"/>
      <c r="AB6" s="18">
        <v>155663</v>
      </c>
      <c r="AC6" s="18">
        <v>144528</v>
      </c>
      <c r="AD6" s="66">
        <v>125347</v>
      </c>
      <c r="AE6" s="66">
        <v>86495</v>
      </c>
      <c r="AF6" s="66">
        <v>106935</v>
      </c>
      <c r="AG6" s="72"/>
    </row>
    <row r="7" spans="1:33" ht="15">
      <c r="A7" s="12"/>
      <c r="B7" s="67"/>
      <c r="C7" s="67"/>
      <c r="D7" s="19"/>
      <c r="E7" s="44"/>
      <c r="F7" s="68"/>
      <c r="G7" s="19"/>
      <c r="H7" s="19"/>
      <c r="I7" s="19"/>
      <c r="J7" s="64"/>
      <c r="K7" s="64"/>
      <c r="L7" s="46"/>
      <c r="M7" s="68"/>
      <c r="N7" s="26"/>
      <c r="O7" s="26"/>
      <c r="P7" s="19"/>
      <c r="Q7" s="19"/>
      <c r="R7" s="19"/>
      <c r="S7" s="44"/>
      <c r="T7" s="44"/>
      <c r="U7" s="69"/>
      <c r="V7" s="69"/>
      <c r="W7" s="26"/>
      <c r="X7" s="19"/>
      <c r="Y7" s="69"/>
      <c r="Z7" s="44"/>
      <c r="AA7" s="44"/>
      <c r="AB7" s="19"/>
      <c r="AC7" s="19"/>
      <c r="AD7" s="69"/>
      <c r="AE7" s="69"/>
      <c r="AF7" s="69"/>
      <c r="AG7" s="72"/>
    </row>
    <row r="8" spans="1:33" ht="15" customHeight="1">
      <c r="A8" s="12" t="s">
        <v>2</v>
      </c>
      <c r="B8" s="234">
        <v>32514</v>
      </c>
      <c r="C8" s="234"/>
      <c r="D8" s="18">
        <v>30475</v>
      </c>
      <c r="E8" s="234">
        <v>63953</v>
      </c>
      <c r="F8" s="234"/>
      <c r="G8" s="18">
        <v>42498</v>
      </c>
      <c r="H8" s="18">
        <v>66853</v>
      </c>
      <c r="I8" s="18">
        <v>45983</v>
      </c>
      <c r="J8" s="248">
        <v>62351</v>
      </c>
      <c r="K8" s="248"/>
      <c r="L8" s="237">
        <v>77968</v>
      </c>
      <c r="M8" s="237"/>
      <c r="N8" s="66">
        <v>48687</v>
      </c>
      <c r="O8" s="66">
        <v>95948</v>
      </c>
      <c r="P8" s="18">
        <v>138403</v>
      </c>
      <c r="Q8" s="18">
        <v>133590</v>
      </c>
      <c r="R8" s="18">
        <v>115335</v>
      </c>
      <c r="S8" s="234">
        <v>69561</v>
      </c>
      <c r="T8" s="234"/>
      <c r="U8" s="66">
        <v>47818</v>
      </c>
      <c r="V8" s="66">
        <v>44755</v>
      </c>
      <c r="W8" s="66">
        <v>47113</v>
      </c>
      <c r="X8" s="18">
        <v>63613</v>
      </c>
      <c r="Y8" s="66">
        <v>39671</v>
      </c>
      <c r="Z8" s="237">
        <v>67481</v>
      </c>
      <c r="AA8" s="237"/>
      <c r="AB8" s="66">
        <v>47254</v>
      </c>
      <c r="AC8" s="66">
        <v>38161</v>
      </c>
      <c r="AD8" s="66">
        <v>39436</v>
      </c>
      <c r="AE8" s="66">
        <v>32470</v>
      </c>
      <c r="AF8" s="66">
        <v>20619</v>
      </c>
      <c r="AG8" s="72"/>
    </row>
    <row r="9" spans="1:33" ht="15">
      <c r="A9" s="12"/>
      <c r="B9" s="54"/>
      <c r="C9" s="54"/>
      <c r="D9" s="31"/>
      <c r="E9" s="35"/>
      <c r="F9" s="14"/>
      <c r="G9" s="31"/>
      <c r="H9" s="31"/>
      <c r="I9" s="31"/>
      <c r="J9" s="65"/>
      <c r="K9" s="65"/>
      <c r="L9" s="15"/>
      <c r="M9" s="14"/>
      <c r="N9" s="32"/>
      <c r="O9" s="32"/>
      <c r="P9" s="31"/>
      <c r="Q9" s="19"/>
      <c r="R9" s="19"/>
      <c r="S9" s="44"/>
      <c r="T9" s="44"/>
      <c r="U9" s="69"/>
      <c r="V9" s="69"/>
      <c r="W9" s="26"/>
      <c r="X9" s="19"/>
      <c r="Y9" s="69"/>
      <c r="Z9" s="44"/>
      <c r="AA9" s="44"/>
      <c r="AB9" s="19"/>
      <c r="AC9" s="19"/>
      <c r="AD9" s="69"/>
      <c r="AE9" s="69"/>
      <c r="AF9" s="69"/>
      <c r="AG9" s="72"/>
    </row>
    <row r="10" spans="1:33" s="37" customFormat="1">
      <c r="A10" s="36" t="s">
        <v>3</v>
      </c>
      <c r="B10" s="242">
        <f>+B6+B8</f>
        <v>125591</v>
      </c>
      <c r="C10" s="243"/>
      <c r="D10" s="21">
        <f>+D6+D8</f>
        <v>157620</v>
      </c>
      <c r="E10" s="244">
        <f>+E6+E8</f>
        <v>63953</v>
      </c>
      <c r="F10" s="244"/>
      <c r="G10" s="21">
        <f t="shared" ref="G10:AD10" si="2">+G6+G8</f>
        <v>187011</v>
      </c>
      <c r="H10" s="21">
        <f t="shared" si="2"/>
        <v>184894</v>
      </c>
      <c r="I10" s="21">
        <f t="shared" si="2"/>
        <v>195881</v>
      </c>
      <c r="J10" s="246">
        <f t="shared" si="2"/>
        <v>270252</v>
      </c>
      <c r="K10" s="246"/>
      <c r="L10" s="239">
        <f t="shared" si="2"/>
        <v>77968</v>
      </c>
      <c r="M10" s="239"/>
      <c r="N10" s="21">
        <f t="shared" si="2"/>
        <v>284372</v>
      </c>
      <c r="O10" s="21">
        <f t="shared" si="2"/>
        <v>316262</v>
      </c>
      <c r="P10" s="21">
        <f t="shared" si="2"/>
        <v>312108</v>
      </c>
      <c r="Q10" s="21">
        <f t="shared" si="2"/>
        <v>287222</v>
      </c>
      <c r="R10" s="21">
        <f t="shared" si="2"/>
        <v>241423</v>
      </c>
      <c r="S10" s="244">
        <f t="shared" si="2"/>
        <v>69561</v>
      </c>
      <c r="T10" s="244"/>
      <c r="U10" s="21">
        <f t="shared" si="2"/>
        <v>217976</v>
      </c>
      <c r="V10" s="21">
        <f t="shared" si="2"/>
        <v>190016</v>
      </c>
      <c r="W10" s="21">
        <f t="shared" si="2"/>
        <v>229883</v>
      </c>
      <c r="X10" s="21">
        <f t="shared" si="2"/>
        <v>204363</v>
      </c>
      <c r="Y10" s="21">
        <f t="shared" si="2"/>
        <v>203822</v>
      </c>
      <c r="Z10" s="244">
        <f t="shared" si="2"/>
        <v>67481</v>
      </c>
      <c r="AA10" s="244"/>
      <c r="AB10" s="21">
        <f t="shared" si="2"/>
        <v>202917</v>
      </c>
      <c r="AC10" s="21">
        <f t="shared" si="2"/>
        <v>182689</v>
      </c>
      <c r="AD10" s="21">
        <f t="shared" si="2"/>
        <v>164783</v>
      </c>
      <c r="AE10" s="21">
        <f t="shared" ref="AE10:AF10" si="3">+AE6+AE8</f>
        <v>118965</v>
      </c>
      <c r="AF10" s="21">
        <f t="shared" si="3"/>
        <v>127554</v>
      </c>
      <c r="AG10" s="73"/>
    </row>
    <row r="11" spans="1:33" ht="13.5" thickBot="1">
      <c r="A11" s="13"/>
      <c r="B11" s="17"/>
      <c r="C11" s="17"/>
      <c r="D11" s="7"/>
      <c r="E11" s="16"/>
      <c r="F11" s="16"/>
      <c r="G11" s="7"/>
      <c r="H11" s="7"/>
      <c r="I11" s="7"/>
      <c r="J11" s="62"/>
      <c r="K11" s="62"/>
      <c r="L11" s="17"/>
      <c r="M11" s="16"/>
      <c r="N11" s="42"/>
      <c r="O11" s="42"/>
      <c r="P11" s="7"/>
      <c r="Q11" s="74"/>
      <c r="R11" s="74"/>
      <c r="S11" s="75"/>
      <c r="T11" s="75"/>
      <c r="U11" s="76"/>
      <c r="V11" s="76"/>
      <c r="W11" s="74"/>
      <c r="X11" s="74"/>
      <c r="Y11" s="76"/>
      <c r="Z11" s="75"/>
      <c r="AA11" s="75"/>
      <c r="AB11" s="74"/>
      <c r="AC11" s="74"/>
      <c r="AD11" s="76"/>
      <c r="AE11" s="76"/>
      <c r="AF11" s="76"/>
      <c r="AG11" s="72"/>
    </row>
    <row r="13" spans="1:33">
      <c r="Y13" s="23"/>
    </row>
    <row r="14" spans="1:33">
      <c r="S14" s="23"/>
    </row>
    <row r="15" spans="1:33">
      <c r="H15" s="34"/>
      <c r="N15" s="40"/>
      <c r="O15" s="40"/>
      <c r="P15" s="40"/>
      <c r="Q15" s="40"/>
      <c r="R15" s="40"/>
    </row>
    <row r="20" spans="11:11">
      <c r="K20" s="22"/>
    </row>
  </sheetData>
  <mergeCells count="19">
    <mergeCell ref="Z6:AA6"/>
    <mergeCell ref="B8:C8"/>
    <mergeCell ref="E8:F8"/>
    <mergeCell ref="L8:M8"/>
    <mergeCell ref="S8:T8"/>
    <mergeCell ref="Z8:AA8"/>
    <mergeCell ref="J6:K6"/>
    <mergeCell ref="J8:K8"/>
    <mergeCell ref="B4:C4"/>
    <mergeCell ref="B6:C6"/>
    <mergeCell ref="E6:F6"/>
    <mergeCell ref="L6:M6"/>
    <mergeCell ref="S6:T6"/>
    <mergeCell ref="B10:C10"/>
    <mergeCell ref="E10:F10"/>
    <mergeCell ref="L10:M10"/>
    <mergeCell ref="S10:T10"/>
    <mergeCell ref="Z10:AA10"/>
    <mergeCell ref="J10:K10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8" sqref="E18"/>
    </sheetView>
  </sheetViews>
  <sheetFormatPr baseColWidth="10" defaultRowHeight="12.75"/>
  <cols>
    <col min="2" max="3" width="6.7109375" bestFit="1" customWidth="1"/>
    <col min="4" max="5" width="7.5703125" bestFit="1" customWidth="1"/>
    <col min="6" max="6" width="7.5703125" customWidth="1"/>
    <col min="7" max="9" width="7.5703125" bestFit="1" customWidth="1"/>
    <col min="10" max="10" width="6.5703125" bestFit="1" customWidth="1"/>
    <col min="11" max="16" width="7.5703125" bestFit="1" customWidth="1"/>
    <col min="17" max="17" width="6.5703125" bestFit="1" customWidth="1"/>
    <col min="18" max="18" width="7.42578125" bestFit="1" customWidth="1"/>
    <col min="19" max="23" width="7.5703125" bestFit="1" customWidth="1"/>
    <col min="24" max="24" width="6.5703125" bestFit="1" customWidth="1"/>
    <col min="25" max="26" width="7.5703125" bestFit="1" customWidth="1"/>
    <col min="27" max="27" width="7.85546875" customWidth="1"/>
    <col min="28" max="30" width="7.5703125" bestFit="1" customWidth="1"/>
    <col min="31" max="31" width="6.5703125" bestFit="1" customWidth="1"/>
    <col min="32" max="33" width="7.5703125" bestFit="1" customWidth="1"/>
  </cols>
  <sheetData>
    <row r="1" spans="1:33">
      <c r="A1" s="2"/>
      <c r="B1" s="24">
        <v>45444</v>
      </c>
      <c r="C1" s="24">
        <f t="shared" ref="C1:Q2" si="0">+B1+1</f>
        <v>45445</v>
      </c>
      <c r="D1" s="24">
        <f t="shared" si="0"/>
        <v>45446</v>
      </c>
      <c r="E1" s="24">
        <f t="shared" si="0"/>
        <v>45447</v>
      </c>
      <c r="F1" s="24">
        <f t="shared" si="0"/>
        <v>45448</v>
      </c>
      <c r="G1" s="24">
        <f t="shared" si="0"/>
        <v>45449</v>
      </c>
      <c r="H1" s="24">
        <f t="shared" si="0"/>
        <v>45450</v>
      </c>
      <c r="I1" s="24">
        <f t="shared" si="0"/>
        <v>45451</v>
      </c>
      <c r="J1" s="24">
        <f t="shared" si="0"/>
        <v>45452</v>
      </c>
      <c r="K1" s="24">
        <f t="shared" si="0"/>
        <v>45453</v>
      </c>
      <c r="L1" s="24">
        <f t="shared" si="0"/>
        <v>45454</v>
      </c>
      <c r="M1" s="24">
        <f t="shared" si="0"/>
        <v>45455</v>
      </c>
      <c r="N1" s="24">
        <f t="shared" si="0"/>
        <v>45456</v>
      </c>
      <c r="O1" s="24">
        <f t="shared" si="0"/>
        <v>45457</v>
      </c>
      <c r="P1" s="24">
        <f t="shared" si="0"/>
        <v>45458</v>
      </c>
      <c r="Q1" s="24">
        <f t="shared" si="0"/>
        <v>45459</v>
      </c>
      <c r="R1" s="24">
        <f t="shared" ref="R1:AG2" si="1">+Q1+1</f>
        <v>45460</v>
      </c>
      <c r="S1" s="24">
        <f t="shared" si="1"/>
        <v>45461</v>
      </c>
      <c r="T1" s="24">
        <f t="shared" si="1"/>
        <v>45462</v>
      </c>
      <c r="U1" s="24">
        <f t="shared" si="1"/>
        <v>45463</v>
      </c>
      <c r="V1" s="24">
        <f t="shared" si="1"/>
        <v>45464</v>
      </c>
      <c r="W1" s="24">
        <f t="shared" si="1"/>
        <v>45465</v>
      </c>
      <c r="X1" s="24">
        <f t="shared" si="1"/>
        <v>45466</v>
      </c>
      <c r="Y1" s="24">
        <f t="shared" si="1"/>
        <v>45467</v>
      </c>
      <c r="Z1" s="24">
        <f t="shared" si="1"/>
        <v>45468</v>
      </c>
      <c r="AA1" s="24">
        <f t="shared" si="1"/>
        <v>45469</v>
      </c>
      <c r="AB1" s="24">
        <f t="shared" si="1"/>
        <v>45470</v>
      </c>
      <c r="AC1" s="24">
        <f t="shared" si="1"/>
        <v>45471</v>
      </c>
      <c r="AD1" s="24">
        <f t="shared" si="1"/>
        <v>45472</v>
      </c>
      <c r="AE1" s="24">
        <f t="shared" si="1"/>
        <v>45473</v>
      </c>
      <c r="AF1" s="24">
        <f t="shared" si="1"/>
        <v>45474</v>
      </c>
      <c r="AG1" s="24">
        <f t="shared" si="1"/>
        <v>45475</v>
      </c>
    </row>
    <row r="2" spans="1:33">
      <c r="A2" s="4"/>
      <c r="B2" s="5">
        <v>45444</v>
      </c>
      <c r="C2" s="5">
        <f t="shared" si="0"/>
        <v>45445</v>
      </c>
      <c r="D2" s="5">
        <f t="shared" si="0"/>
        <v>45446</v>
      </c>
      <c r="E2" s="5">
        <f t="shared" si="0"/>
        <v>45447</v>
      </c>
      <c r="F2" s="5">
        <f t="shared" si="0"/>
        <v>45448</v>
      </c>
      <c r="G2" s="5">
        <f t="shared" si="0"/>
        <v>45449</v>
      </c>
      <c r="H2" s="5">
        <f t="shared" si="0"/>
        <v>45450</v>
      </c>
      <c r="I2" s="5">
        <f t="shared" si="0"/>
        <v>45451</v>
      </c>
      <c r="J2" s="5">
        <f t="shared" si="0"/>
        <v>45452</v>
      </c>
      <c r="K2" s="5">
        <f t="shared" si="0"/>
        <v>45453</v>
      </c>
      <c r="L2" s="5">
        <f t="shared" si="0"/>
        <v>45454</v>
      </c>
      <c r="M2" s="5">
        <f t="shared" si="0"/>
        <v>45455</v>
      </c>
      <c r="N2" s="5">
        <f t="shared" si="0"/>
        <v>45456</v>
      </c>
      <c r="O2" s="5">
        <f t="shared" si="0"/>
        <v>45457</v>
      </c>
      <c r="P2" s="5">
        <f t="shared" si="0"/>
        <v>45458</v>
      </c>
      <c r="Q2" s="5">
        <f t="shared" si="0"/>
        <v>45459</v>
      </c>
      <c r="R2" s="5">
        <f t="shared" si="1"/>
        <v>45460</v>
      </c>
      <c r="S2" s="5">
        <f t="shared" si="1"/>
        <v>45461</v>
      </c>
      <c r="T2" s="5">
        <f t="shared" si="1"/>
        <v>45462</v>
      </c>
      <c r="U2" s="5">
        <f t="shared" si="1"/>
        <v>45463</v>
      </c>
      <c r="V2" s="5">
        <f t="shared" si="1"/>
        <v>45464</v>
      </c>
      <c r="W2" s="5">
        <f t="shared" si="1"/>
        <v>45465</v>
      </c>
      <c r="X2" s="5">
        <f t="shared" si="1"/>
        <v>45466</v>
      </c>
      <c r="Y2" s="5">
        <f t="shared" si="1"/>
        <v>45467</v>
      </c>
      <c r="Z2" s="5">
        <f t="shared" si="1"/>
        <v>45468</v>
      </c>
      <c r="AA2" s="5">
        <f t="shared" si="1"/>
        <v>45469</v>
      </c>
      <c r="AB2" s="5">
        <f t="shared" si="1"/>
        <v>45470</v>
      </c>
      <c r="AC2" s="5">
        <f t="shared" si="1"/>
        <v>45471</v>
      </c>
      <c r="AD2" s="5">
        <f t="shared" si="1"/>
        <v>45472</v>
      </c>
      <c r="AE2" s="5">
        <f t="shared" si="1"/>
        <v>45473</v>
      </c>
      <c r="AF2" s="5">
        <f t="shared" si="1"/>
        <v>45474</v>
      </c>
      <c r="AG2" s="5">
        <f t="shared" si="1"/>
        <v>45475</v>
      </c>
    </row>
    <row r="3" spans="1:33" ht="13.5" thickBot="1">
      <c r="A3" s="6"/>
      <c r="B3" s="17"/>
      <c r="C3" s="17"/>
      <c r="D3" s="42"/>
      <c r="E3" s="42"/>
      <c r="F3" s="42"/>
      <c r="G3" s="7"/>
      <c r="H3" s="7"/>
      <c r="I3" s="16"/>
      <c r="J3" s="16"/>
      <c r="K3" s="7"/>
      <c r="L3" s="7"/>
      <c r="M3" s="7"/>
      <c r="N3" s="7"/>
      <c r="O3" s="7"/>
      <c r="P3" s="16"/>
      <c r="Q3" s="16"/>
      <c r="R3" s="42"/>
      <c r="S3" s="42"/>
      <c r="T3" s="7"/>
      <c r="U3" s="7"/>
      <c r="V3" s="7"/>
      <c r="W3" s="16"/>
      <c r="X3" s="16"/>
      <c r="Y3" s="7"/>
      <c r="Z3" s="7"/>
      <c r="AA3" s="7"/>
      <c r="AB3" s="7"/>
      <c r="AC3" s="7"/>
      <c r="AD3" s="16"/>
      <c r="AE3" s="16"/>
      <c r="AF3" s="7"/>
      <c r="AG3" s="7"/>
    </row>
    <row r="4" spans="1:33" ht="15">
      <c r="A4" s="9" t="s">
        <v>0</v>
      </c>
      <c r="B4" s="52"/>
      <c r="C4" s="52"/>
      <c r="D4" s="70"/>
      <c r="E4" s="25"/>
      <c r="F4" s="25"/>
      <c r="G4" s="1"/>
      <c r="H4" s="1"/>
      <c r="I4" s="14"/>
      <c r="J4" s="41"/>
      <c r="K4" s="1"/>
      <c r="L4" s="1"/>
      <c r="M4" s="1"/>
      <c r="N4" s="1"/>
      <c r="O4" s="1"/>
      <c r="P4" s="55"/>
      <c r="Q4" s="41"/>
      <c r="R4" s="25"/>
      <c r="S4" s="25"/>
      <c r="T4" s="1"/>
      <c r="U4" s="1"/>
      <c r="V4" s="1"/>
      <c r="W4" s="14"/>
      <c r="X4" s="41"/>
      <c r="Y4" s="30"/>
      <c r="Z4" s="30"/>
      <c r="AA4" s="1"/>
      <c r="AB4" s="1"/>
      <c r="AC4" s="30"/>
      <c r="AD4" s="14"/>
      <c r="AE4" s="41"/>
      <c r="AF4" s="1"/>
      <c r="AG4" s="1"/>
    </row>
    <row r="5" spans="1:33" ht="15">
      <c r="A5" s="10"/>
      <c r="B5" s="53"/>
      <c r="C5" s="54"/>
      <c r="D5" s="25"/>
      <c r="E5" s="25"/>
      <c r="F5" s="25"/>
      <c r="G5" s="1"/>
      <c r="H5" s="1"/>
      <c r="I5" s="14"/>
      <c r="J5" s="14"/>
      <c r="K5" s="1"/>
      <c r="L5" s="1"/>
      <c r="M5" s="1"/>
      <c r="N5" s="1"/>
      <c r="O5" s="1"/>
      <c r="P5" s="15"/>
      <c r="Q5" s="14"/>
      <c r="R5" s="25"/>
      <c r="S5" s="25"/>
      <c r="T5" s="1"/>
      <c r="U5" s="1"/>
      <c r="V5" s="1"/>
      <c r="W5" s="14"/>
      <c r="X5" s="14"/>
      <c r="Y5" s="28"/>
      <c r="Z5" s="28"/>
      <c r="AA5" s="25"/>
      <c r="AB5" s="1"/>
      <c r="AC5" s="28"/>
      <c r="AD5" s="14"/>
      <c r="AE5" s="14"/>
      <c r="AF5" s="1"/>
      <c r="AG5" s="1"/>
    </row>
    <row r="6" spans="1:33" s="37" customFormat="1" ht="15" customHeight="1">
      <c r="A6" s="36" t="s">
        <v>1</v>
      </c>
      <c r="B6" s="234">
        <v>0</v>
      </c>
      <c r="C6" s="234"/>
      <c r="D6" s="43">
        <v>105900</v>
      </c>
      <c r="E6" s="43">
        <v>113414</v>
      </c>
      <c r="F6" s="18">
        <v>141674</v>
      </c>
      <c r="G6" s="18">
        <v>108725</v>
      </c>
      <c r="H6" s="18">
        <v>91831</v>
      </c>
      <c r="I6" s="234">
        <v>0</v>
      </c>
      <c r="J6" s="234"/>
      <c r="K6" s="18">
        <v>114628</v>
      </c>
      <c r="L6" s="18">
        <v>98275</v>
      </c>
      <c r="M6" s="18">
        <v>135024</v>
      </c>
      <c r="N6" s="18">
        <v>145009</v>
      </c>
      <c r="O6" s="18">
        <v>153832</v>
      </c>
      <c r="P6" s="237">
        <v>0</v>
      </c>
      <c r="Q6" s="237"/>
      <c r="R6" s="66">
        <v>181827</v>
      </c>
      <c r="S6" s="66">
        <v>125589</v>
      </c>
      <c r="T6" s="18">
        <v>145441</v>
      </c>
      <c r="U6" s="18">
        <v>0</v>
      </c>
      <c r="V6" s="18">
        <v>177998</v>
      </c>
      <c r="W6" s="237">
        <v>0</v>
      </c>
      <c r="X6" s="237"/>
      <c r="Y6" s="66">
        <v>101688</v>
      </c>
      <c r="Z6" s="66">
        <v>127564</v>
      </c>
      <c r="AA6" s="66">
        <v>130531</v>
      </c>
      <c r="AB6" s="66">
        <v>125130</v>
      </c>
      <c r="AC6" s="66">
        <v>119282</v>
      </c>
      <c r="AD6" s="237"/>
      <c r="AE6" s="237"/>
      <c r="AF6" s="18">
        <v>116580</v>
      </c>
      <c r="AG6" s="18">
        <v>87957</v>
      </c>
    </row>
    <row r="7" spans="1:33" s="83" customFormat="1" ht="15">
      <c r="A7" s="84"/>
      <c r="B7" s="67"/>
      <c r="C7" s="67"/>
      <c r="D7" s="81"/>
      <c r="E7" s="81"/>
      <c r="F7" s="81"/>
      <c r="G7" s="82"/>
      <c r="H7" s="82"/>
      <c r="I7" s="68"/>
      <c r="J7" s="68"/>
      <c r="K7" s="82"/>
      <c r="L7" s="82"/>
      <c r="M7" s="82"/>
      <c r="N7" s="82"/>
      <c r="O7" s="80"/>
      <c r="P7" s="85"/>
      <c r="Q7" s="68"/>
      <c r="R7" s="81"/>
      <c r="S7" s="81"/>
      <c r="T7" s="82"/>
      <c r="U7" s="82"/>
      <c r="V7" s="82"/>
      <c r="W7" s="68"/>
      <c r="X7" s="68"/>
      <c r="Y7" s="86"/>
      <c r="Z7" s="86"/>
      <c r="AA7" s="81"/>
      <c r="AB7" s="82"/>
      <c r="AC7" s="86"/>
      <c r="AD7" s="68"/>
      <c r="AE7" s="68"/>
      <c r="AF7" s="82"/>
      <c r="AG7" s="82"/>
    </row>
    <row r="8" spans="1:33" s="37" customFormat="1" ht="15" customHeight="1">
      <c r="A8" s="87" t="s">
        <v>2</v>
      </c>
      <c r="B8" s="234">
        <v>32062</v>
      </c>
      <c r="C8" s="234"/>
      <c r="D8" s="43">
        <v>20524</v>
      </c>
      <c r="E8" s="43">
        <v>31348</v>
      </c>
      <c r="F8" s="18">
        <v>37778</v>
      </c>
      <c r="G8" s="18">
        <v>35885</v>
      </c>
      <c r="H8" s="18">
        <v>21556</v>
      </c>
      <c r="I8" s="234">
        <v>31090</v>
      </c>
      <c r="J8" s="234"/>
      <c r="K8" s="18">
        <v>20378</v>
      </c>
      <c r="L8" s="18">
        <v>40199</v>
      </c>
      <c r="M8" s="18">
        <v>22397</v>
      </c>
      <c r="N8" s="18">
        <v>20413</v>
      </c>
      <c r="O8" s="18">
        <v>29646</v>
      </c>
      <c r="P8" s="237">
        <v>34235</v>
      </c>
      <c r="Q8" s="237"/>
      <c r="R8" s="18">
        <v>34235</v>
      </c>
      <c r="S8" s="66">
        <v>67412</v>
      </c>
      <c r="T8" s="18">
        <v>26475</v>
      </c>
      <c r="U8" s="18">
        <v>68049</v>
      </c>
      <c r="V8" s="18">
        <v>37256</v>
      </c>
      <c r="W8" s="234">
        <v>112634</v>
      </c>
      <c r="X8" s="234"/>
      <c r="Y8" s="66">
        <v>57956</v>
      </c>
      <c r="Z8" s="66">
        <v>42155</v>
      </c>
      <c r="AA8" s="66">
        <v>35858</v>
      </c>
      <c r="AB8" s="18">
        <v>44537</v>
      </c>
      <c r="AC8" s="66">
        <v>34547</v>
      </c>
      <c r="AD8" s="237">
        <v>44128</v>
      </c>
      <c r="AE8" s="237"/>
      <c r="AF8" s="66">
        <v>34279</v>
      </c>
      <c r="AG8" s="66">
        <v>32635</v>
      </c>
    </row>
    <row r="9" spans="1:33" ht="15">
      <c r="A9" s="12"/>
      <c r="B9" s="77"/>
      <c r="C9" s="77"/>
      <c r="D9" s="26"/>
      <c r="E9" s="26"/>
      <c r="F9" s="32"/>
      <c r="G9" s="31"/>
      <c r="H9" s="31"/>
      <c r="I9" s="35"/>
      <c r="J9" s="14"/>
      <c r="K9" s="31"/>
      <c r="L9" s="31"/>
      <c r="M9" s="31"/>
      <c r="N9" s="31"/>
      <c r="O9" s="31"/>
      <c r="P9" s="15"/>
      <c r="Q9" s="14"/>
      <c r="R9" s="32"/>
      <c r="S9" s="32"/>
      <c r="T9" s="31"/>
      <c r="U9" s="31"/>
      <c r="V9" s="31"/>
      <c r="W9" s="35"/>
      <c r="X9" s="14"/>
      <c r="Y9" s="28"/>
      <c r="Z9" s="28"/>
      <c r="AA9" s="32"/>
      <c r="AB9" s="31"/>
      <c r="AC9" s="28"/>
      <c r="AD9" s="35"/>
      <c r="AE9" s="14"/>
      <c r="AF9" s="31"/>
      <c r="AG9" s="31"/>
    </row>
    <row r="10" spans="1:33" s="37" customFormat="1">
      <c r="A10" s="36" t="s">
        <v>3</v>
      </c>
      <c r="B10" s="242">
        <f>+B6+B8</f>
        <v>32062</v>
      </c>
      <c r="C10" s="242"/>
      <c r="D10" s="21">
        <f>+D6+D8</f>
        <v>126424</v>
      </c>
      <c r="E10" s="21">
        <f>+E6+E8</f>
        <v>144762</v>
      </c>
      <c r="F10" s="21">
        <f>+F6+F8</f>
        <v>179452</v>
      </c>
      <c r="G10" s="21">
        <f>+G6+G8</f>
        <v>144610</v>
      </c>
      <c r="H10" s="21">
        <f t="shared" ref="H10:AG10" si="2">+H6+H8</f>
        <v>113387</v>
      </c>
      <c r="I10" s="244">
        <f>+I6+I8</f>
        <v>31090</v>
      </c>
      <c r="J10" s="244"/>
      <c r="K10" s="21">
        <f t="shared" si="2"/>
        <v>135006</v>
      </c>
      <c r="L10" s="21">
        <f t="shared" si="2"/>
        <v>138474</v>
      </c>
      <c r="M10" s="21">
        <f t="shared" si="2"/>
        <v>157421</v>
      </c>
      <c r="N10" s="21">
        <f t="shared" si="2"/>
        <v>165422</v>
      </c>
      <c r="O10" s="21">
        <f t="shared" si="2"/>
        <v>183478</v>
      </c>
      <c r="P10" s="239">
        <f t="shared" si="2"/>
        <v>34235</v>
      </c>
      <c r="Q10" s="239"/>
      <c r="R10" s="21">
        <f t="shared" si="2"/>
        <v>216062</v>
      </c>
      <c r="S10" s="21">
        <f t="shared" si="2"/>
        <v>193001</v>
      </c>
      <c r="T10" s="21">
        <f t="shared" si="2"/>
        <v>171916</v>
      </c>
      <c r="U10" s="21">
        <f t="shared" si="2"/>
        <v>68049</v>
      </c>
      <c r="V10" s="21">
        <f t="shared" si="2"/>
        <v>215254</v>
      </c>
      <c r="W10" s="244">
        <f t="shared" si="2"/>
        <v>112634</v>
      </c>
      <c r="X10" s="244"/>
      <c r="Y10" s="21">
        <f t="shared" si="2"/>
        <v>159644</v>
      </c>
      <c r="Z10" s="21">
        <f t="shared" si="2"/>
        <v>169719</v>
      </c>
      <c r="AA10" s="21">
        <f>+AA6+AA8</f>
        <v>166389</v>
      </c>
      <c r="AB10" s="21">
        <f t="shared" si="2"/>
        <v>169667</v>
      </c>
      <c r="AC10" s="21">
        <f t="shared" si="2"/>
        <v>153829</v>
      </c>
      <c r="AD10" s="244">
        <f t="shared" si="2"/>
        <v>44128</v>
      </c>
      <c r="AE10" s="244"/>
      <c r="AF10" s="21">
        <f t="shared" si="2"/>
        <v>150859</v>
      </c>
      <c r="AG10" s="21">
        <f t="shared" si="2"/>
        <v>120592</v>
      </c>
    </row>
    <row r="11" spans="1:33" ht="13.5" thickBot="1">
      <c r="A11" s="13"/>
      <c r="B11" s="78"/>
      <c r="C11" s="78"/>
      <c r="D11" s="79"/>
      <c r="E11" s="79"/>
      <c r="F11" s="42"/>
      <c r="G11" s="7"/>
      <c r="H11" s="7"/>
      <c r="I11" s="16"/>
      <c r="J11" s="16"/>
      <c r="K11" s="7"/>
      <c r="L11" s="7"/>
      <c r="M11" s="7"/>
      <c r="N11" s="7"/>
      <c r="O11" s="7"/>
      <c r="P11" s="17"/>
      <c r="Q11" s="16"/>
      <c r="R11" s="42"/>
      <c r="S11" s="42"/>
      <c r="T11" s="7"/>
      <c r="U11" s="7"/>
      <c r="V11" s="7"/>
      <c r="W11" s="16"/>
      <c r="X11" s="16"/>
      <c r="Y11" s="29"/>
      <c r="Z11" s="29"/>
      <c r="AA11" s="7"/>
      <c r="AB11" s="7"/>
      <c r="AC11" s="29"/>
      <c r="AD11" s="16"/>
      <c r="AE11" s="16"/>
      <c r="AF11" s="7"/>
      <c r="AG11" s="7"/>
    </row>
    <row r="13" spans="1:33">
      <c r="AC13" s="23"/>
    </row>
    <row r="14" spans="1:33">
      <c r="W14" s="23"/>
    </row>
    <row r="15" spans="1:33">
      <c r="L15" s="34"/>
      <c r="R15" s="40"/>
      <c r="S15" s="40"/>
      <c r="T15" s="40"/>
      <c r="U15" s="40"/>
      <c r="V15" s="40"/>
    </row>
    <row r="16" spans="1:33">
      <c r="K16" s="34"/>
    </row>
    <row r="20" spans="15:15">
      <c r="O20" s="22"/>
    </row>
  </sheetData>
  <mergeCells count="15">
    <mergeCell ref="I10:J10"/>
    <mergeCell ref="P10:Q10"/>
    <mergeCell ref="W10:X10"/>
    <mergeCell ref="AD10:AE10"/>
    <mergeCell ref="B6:C6"/>
    <mergeCell ref="B8:C8"/>
    <mergeCell ref="B10:C10"/>
    <mergeCell ref="I6:J6"/>
    <mergeCell ref="P6:Q6"/>
    <mergeCell ref="W6:X6"/>
    <mergeCell ref="AD6:AE6"/>
    <mergeCell ref="I8:J8"/>
    <mergeCell ref="P8:Q8"/>
    <mergeCell ref="W8:X8"/>
    <mergeCell ref="AD8:AE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F8" sqref="AF8"/>
    </sheetView>
  </sheetViews>
  <sheetFormatPr baseColWidth="10" defaultRowHeight="12.75"/>
  <cols>
    <col min="2" max="7" width="7.5703125" bestFit="1" customWidth="1"/>
    <col min="8" max="8" width="6.5703125" bestFit="1" customWidth="1"/>
    <col min="9" max="9" width="7.42578125" bestFit="1" customWidth="1"/>
    <col min="10" max="14" width="7.5703125" bestFit="1" customWidth="1"/>
    <col min="15" max="15" width="6.5703125" bestFit="1" customWidth="1"/>
    <col min="16" max="17" width="7.5703125" bestFit="1" customWidth="1"/>
    <col min="18" max="18" width="7.85546875" customWidth="1"/>
    <col min="19" max="21" width="7.5703125" bestFit="1" customWidth="1"/>
    <col min="22" max="22" width="6.5703125" bestFit="1" customWidth="1"/>
    <col min="23" max="32" width="7.5703125" bestFit="1" customWidth="1"/>
  </cols>
  <sheetData>
    <row r="1" spans="1:33">
      <c r="A1" s="2"/>
      <c r="B1" s="24">
        <v>45474</v>
      </c>
      <c r="C1" s="24">
        <f t="shared" ref="C1:O2" si="0">+B1+1</f>
        <v>45475</v>
      </c>
      <c r="D1" s="24">
        <f t="shared" si="0"/>
        <v>45476</v>
      </c>
      <c r="E1" s="24">
        <f t="shared" si="0"/>
        <v>45477</v>
      </c>
      <c r="F1" s="24">
        <f t="shared" si="0"/>
        <v>45478</v>
      </c>
      <c r="G1" s="24">
        <f t="shared" si="0"/>
        <v>45479</v>
      </c>
      <c r="H1" s="24">
        <f t="shared" si="0"/>
        <v>45480</v>
      </c>
      <c r="I1" s="24">
        <f t="shared" si="0"/>
        <v>45481</v>
      </c>
      <c r="J1" s="24">
        <f t="shared" si="0"/>
        <v>45482</v>
      </c>
      <c r="K1" s="24">
        <f t="shared" si="0"/>
        <v>45483</v>
      </c>
      <c r="L1" s="24">
        <f t="shared" si="0"/>
        <v>45484</v>
      </c>
      <c r="M1" s="24">
        <f t="shared" si="0"/>
        <v>45485</v>
      </c>
      <c r="N1" s="24">
        <f t="shared" si="0"/>
        <v>45486</v>
      </c>
      <c r="O1" s="24">
        <f t="shared" si="0"/>
        <v>45487</v>
      </c>
      <c r="P1" s="24">
        <f t="shared" ref="O1:AF2" si="1">+O1+1</f>
        <v>45488</v>
      </c>
      <c r="Q1" s="24">
        <f t="shared" si="1"/>
        <v>45489</v>
      </c>
      <c r="R1" s="24">
        <f t="shared" si="1"/>
        <v>45490</v>
      </c>
      <c r="S1" s="24">
        <f t="shared" si="1"/>
        <v>45491</v>
      </c>
      <c r="T1" s="24">
        <f t="shared" si="1"/>
        <v>45492</v>
      </c>
      <c r="U1" s="24">
        <f t="shared" si="1"/>
        <v>45493</v>
      </c>
      <c r="V1" s="24">
        <f t="shared" si="1"/>
        <v>45494</v>
      </c>
      <c r="W1" s="24">
        <f t="shared" si="1"/>
        <v>45495</v>
      </c>
      <c r="X1" s="24">
        <f t="shared" si="1"/>
        <v>45496</v>
      </c>
      <c r="Y1" s="24">
        <f t="shared" si="1"/>
        <v>45497</v>
      </c>
      <c r="Z1" s="88">
        <f t="shared" si="1"/>
        <v>45498</v>
      </c>
      <c r="AA1" s="88">
        <f t="shared" si="1"/>
        <v>45499</v>
      </c>
      <c r="AB1" s="88">
        <f t="shared" si="1"/>
        <v>45500</v>
      </c>
      <c r="AC1" s="88">
        <f t="shared" si="1"/>
        <v>45501</v>
      </c>
      <c r="AD1" s="88">
        <f t="shared" si="1"/>
        <v>45502</v>
      </c>
      <c r="AE1" s="88">
        <f t="shared" si="1"/>
        <v>45503</v>
      </c>
      <c r="AF1" s="88">
        <f t="shared" si="1"/>
        <v>45504</v>
      </c>
    </row>
    <row r="2" spans="1:33">
      <c r="A2" s="4"/>
      <c r="B2" s="5">
        <v>45474</v>
      </c>
      <c r="C2" s="5">
        <f t="shared" si="0"/>
        <v>45475</v>
      </c>
      <c r="D2" s="5">
        <f t="shared" si="0"/>
        <v>45476</v>
      </c>
      <c r="E2" s="5">
        <f t="shared" si="0"/>
        <v>45477</v>
      </c>
      <c r="F2" s="5">
        <f t="shared" si="0"/>
        <v>45478</v>
      </c>
      <c r="G2" s="5">
        <f t="shared" si="0"/>
        <v>45479</v>
      </c>
      <c r="H2" s="5">
        <f t="shared" si="0"/>
        <v>45480</v>
      </c>
      <c r="I2" s="5">
        <f t="shared" si="0"/>
        <v>45481</v>
      </c>
      <c r="J2" s="5">
        <f t="shared" si="0"/>
        <v>45482</v>
      </c>
      <c r="K2" s="5">
        <f t="shared" si="0"/>
        <v>45483</v>
      </c>
      <c r="L2" s="5">
        <f t="shared" si="0"/>
        <v>45484</v>
      </c>
      <c r="M2" s="5">
        <f t="shared" si="0"/>
        <v>45485</v>
      </c>
      <c r="N2" s="5">
        <f t="shared" si="0"/>
        <v>45486</v>
      </c>
      <c r="O2" s="5">
        <f t="shared" si="1"/>
        <v>45487</v>
      </c>
      <c r="P2" s="5">
        <f t="shared" si="1"/>
        <v>45488</v>
      </c>
      <c r="Q2" s="5">
        <f t="shared" si="1"/>
        <v>45489</v>
      </c>
      <c r="R2" s="5">
        <f t="shared" si="1"/>
        <v>45490</v>
      </c>
      <c r="S2" s="5">
        <f t="shared" si="1"/>
        <v>45491</v>
      </c>
      <c r="T2" s="5">
        <f t="shared" si="1"/>
        <v>45492</v>
      </c>
      <c r="U2" s="5">
        <f t="shared" si="1"/>
        <v>45493</v>
      </c>
      <c r="V2" s="5">
        <f t="shared" si="1"/>
        <v>45494</v>
      </c>
      <c r="W2" s="5">
        <f t="shared" si="1"/>
        <v>45495</v>
      </c>
      <c r="X2" s="5">
        <f t="shared" si="1"/>
        <v>45496</v>
      </c>
      <c r="Y2" s="5">
        <f t="shared" si="1"/>
        <v>45497</v>
      </c>
      <c r="Z2" s="89">
        <f t="shared" si="1"/>
        <v>45498</v>
      </c>
      <c r="AA2" s="89">
        <f t="shared" si="1"/>
        <v>45499</v>
      </c>
      <c r="AB2" s="89">
        <f t="shared" si="1"/>
        <v>45500</v>
      </c>
      <c r="AC2" s="89">
        <f t="shared" si="1"/>
        <v>45501</v>
      </c>
      <c r="AD2" s="89">
        <f t="shared" si="1"/>
        <v>45502</v>
      </c>
      <c r="AE2" s="89">
        <f t="shared" si="1"/>
        <v>45503</v>
      </c>
      <c r="AF2" s="89">
        <f t="shared" si="1"/>
        <v>45504</v>
      </c>
    </row>
    <row r="3" spans="1:33" ht="13.5" thickBot="1">
      <c r="A3" s="6"/>
      <c r="B3" s="7"/>
      <c r="C3" s="7"/>
      <c r="D3" s="7"/>
      <c r="E3" s="7"/>
      <c r="F3" s="7"/>
      <c r="G3" s="16"/>
      <c r="H3" s="16"/>
      <c r="I3" s="42"/>
      <c r="J3" s="42"/>
      <c r="K3" s="7"/>
      <c r="L3" s="7"/>
      <c r="M3" s="7"/>
      <c r="N3" s="16"/>
      <c r="O3" s="16"/>
      <c r="P3" s="7"/>
      <c r="Q3" s="7"/>
      <c r="R3" s="7"/>
      <c r="S3" s="7"/>
      <c r="T3" s="7"/>
      <c r="U3" s="16"/>
      <c r="V3" s="16"/>
      <c r="W3" s="7"/>
      <c r="X3" s="7"/>
      <c r="Y3" s="7"/>
      <c r="Z3" s="7"/>
      <c r="AA3" s="92"/>
      <c r="AB3" s="16"/>
      <c r="AC3" s="16"/>
      <c r="AD3" s="92"/>
      <c r="AE3" s="92"/>
      <c r="AF3" s="92"/>
    </row>
    <row r="4" spans="1:33" ht="15">
      <c r="A4" s="9" t="s">
        <v>0</v>
      </c>
      <c r="B4" s="1"/>
      <c r="C4" s="1"/>
      <c r="D4" s="1"/>
      <c r="E4" s="1"/>
      <c r="F4" s="1"/>
      <c r="G4" s="55"/>
      <c r="H4" s="41"/>
      <c r="I4" s="25"/>
      <c r="J4" s="25"/>
      <c r="K4" s="1"/>
      <c r="L4" s="1"/>
      <c r="M4" s="1"/>
      <c r="N4" s="14"/>
      <c r="O4" s="41"/>
      <c r="P4" s="30"/>
      <c r="Q4" s="30"/>
      <c r="R4" s="1"/>
      <c r="S4" s="1"/>
      <c r="T4" s="30"/>
      <c r="U4" s="14"/>
      <c r="V4" s="41"/>
      <c r="W4" s="1"/>
      <c r="X4" s="1"/>
      <c r="Y4" s="30"/>
      <c r="Z4" s="30"/>
      <c r="AA4" s="30"/>
      <c r="AB4" s="14"/>
      <c r="AC4" s="41"/>
      <c r="AD4" s="30"/>
      <c r="AE4" s="30"/>
      <c r="AF4" s="30"/>
    </row>
    <row r="5" spans="1:33" ht="15">
      <c r="A5" s="10"/>
      <c r="B5" s="1"/>
      <c r="C5" s="1"/>
      <c r="D5" s="1"/>
      <c r="E5" s="1"/>
      <c r="F5" s="1"/>
      <c r="G5" s="15"/>
      <c r="H5" s="14"/>
      <c r="I5" s="25"/>
      <c r="J5" s="25"/>
      <c r="K5" s="1"/>
      <c r="L5" s="1"/>
      <c r="M5" s="1"/>
      <c r="N5" s="14"/>
      <c r="O5" s="14"/>
      <c r="P5" s="28"/>
      <c r="Q5" s="28"/>
      <c r="R5" s="25"/>
      <c r="S5" s="1"/>
      <c r="T5" s="28"/>
      <c r="U5" s="14"/>
      <c r="V5" s="14"/>
      <c r="W5" s="1"/>
      <c r="X5" s="1"/>
      <c r="Y5" s="28"/>
      <c r="Z5" s="71"/>
      <c r="AA5" s="71"/>
      <c r="AB5" s="14"/>
      <c r="AC5" s="14"/>
      <c r="AD5" s="71"/>
      <c r="AE5" s="71"/>
      <c r="AF5" s="71"/>
    </row>
    <row r="6" spans="1:33" ht="15" customHeight="1">
      <c r="A6" s="11" t="s">
        <v>1</v>
      </c>
      <c r="B6" s="18">
        <v>116580</v>
      </c>
      <c r="C6" s="18">
        <v>87957</v>
      </c>
      <c r="D6" s="18">
        <v>122681</v>
      </c>
      <c r="E6" s="18">
        <v>92213</v>
      </c>
      <c r="F6" s="18">
        <v>135035</v>
      </c>
      <c r="G6" s="245">
        <v>0</v>
      </c>
      <c r="H6" s="245"/>
      <c r="I6" s="33">
        <v>118087</v>
      </c>
      <c r="J6" s="33">
        <v>100438</v>
      </c>
      <c r="K6" s="47">
        <v>106066</v>
      </c>
      <c r="L6" s="47">
        <v>88548</v>
      </c>
      <c r="M6" s="47">
        <v>132674</v>
      </c>
      <c r="N6" s="245">
        <v>0</v>
      </c>
      <c r="O6" s="245"/>
      <c r="P6" s="33">
        <v>142568</v>
      </c>
      <c r="Q6" s="33">
        <v>128985</v>
      </c>
      <c r="R6" s="33">
        <v>153771</v>
      </c>
      <c r="S6" s="33">
        <v>143946</v>
      </c>
      <c r="T6" s="33">
        <v>117602</v>
      </c>
      <c r="U6" s="245">
        <v>0</v>
      </c>
      <c r="V6" s="245"/>
      <c r="W6" s="47">
        <v>184166</v>
      </c>
      <c r="X6" s="47">
        <v>181138</v>
      </c>
      <c r="Y6" s="33">
        <v>214388</v>
      </c>
      <c r="Z6" s="90">
        <v>165705</v>
      </c>
      <c r="AA6" s="90">
        <v>157731</v>
      </c>
      <c r="AB6" s="245">
        <v>0</v>
      </c>
      <c r="AC6" s="245">
        <v>131681</v>
      </c>
      <c r="AD6" s="90">
        <v>221822</v>
      </c>
      <c r="AE6" s="90">
        <v>200646</v>
      </c>
      <c r="AF6" s="90">
        <v>188766</v>
      </c>
    </row>
    <row r="7" spans="1:33" ht="15">
      <c r="A7" s="12"/>
      <c r="B7" s="19"/>
      <c r="C7" s="19"/>
      <c r="D7" s="19"/>
      <c r="E7" s="19"/>
      <c r="F7" s="19"/>
      <c r="G7" s="15"/>
      <c r="H7" s="14"/>
      <c r="I7" s="32"/>
      <c r="J7" s="32"/>
      <c r="K7" s="31"/>
      <c r="L7" s="31"/>
      <c r="M7" s="31"/>
      <c r="N7" s="35"/>
      <c r="O7" s="14"/>
      <c r="P7" s="28"/>
      <c r="Q7" s="28"/>
      <c r="R7" s="32"/>
      <c r="S7" s="31"/>
      <c r="T7" s="28"/>
      <c r="U7" s="35"/>
      <c r="V7" s="14"/>
      <c r="W7" s="31"/>
      <c r="X7" s="31"/>
      <c r="Y7" s="28"/>
      <c r="Z7" s="71"/>
      <c r="AA7" s="71"/>
      <c r="AB7" s="35"/>
      <c r="AC7" s="14"/>
      <c r="AD7" s="71"/>
      <c r="AE7" s="71"/>
      <c r="AF7" s="71"/>
    </row>
    <row r="8" spans="1:33" ht="15" customHeight="1">
      <c r="A8" s="12" t="s">
        <v>2</v>
      </c>
      <c r="B8" s="18">
        <v>34279</v>
      </c>
      <c r="C8" s="18">
        <v>32635</v>
      </c>
      <c r="D8" s="18">
        <v>22877</v>
      </c>
      <c r="E8" s="18">
        <v>32745</v>
      </c>
      <c r="F8" s="18">
        <v>28626</v>
      </c>
      <c r="G8" s="245">
        <v>41012</v>
      </c>
      <c r="H8" s="245"/>
      <c r="I8" s="33">
        <v>27225</v>
      </c>
      <c r="J8" s="33">
        <v>27848</v>
      </c>
      <c r="K8" s="47">
        <v>30602</v>
      </c>
      <c r="L8" s="47">
        <v>36339</v>
      </c>
      <c r="M8" s="47">
        <v>21013</v>
      </c>
      <c r="N8" s="241">
        <v>60031</v>
      </c>
      <c r="O8" s="241"/>
      <c r="P8" s="33">
        <v>50373</v>
      </c>
      <c r="Q8" s="33">
        <v>74218</v>
      </c>
      <c r="R8" s="33">
        <v>69845</v>
      </c>
      <c r="S8" s="47">
        <v>82469</v>
      </c>
      <c r="T8" s="33">
        <v>106827</v>
      </c>
      <c r="U8" s="245">
        <v>51226</v>
      </c>
      <c r="V8" s="245"/>
      <c r="W8" s="33">
        <v>32926</v>
      </c>
      <c r="X8" s="33">
        <v>73169</v>
      </c>
      <c r="Y8" s="33">
        <v>119644</v>
      </c>
      <c r="Z8" s="90">
        <v>154313</v>
      </c>
      <c r="AA8" s="90">
        <v>145248</v>
      </c>
      <c r="AB8" s="245">
        <v>80197</v>
      </c>
      <c r="AC8" s="245">
        <v>55457</v>
      </c>
      <c r="AD8" s="90">
        <v>55320</v>
      </c>
      <c r="AE8" s="90">
        <v>114742</v>
      </c>
      <c r="AF8" s="90">
        <v>120266</v>
      </c>
      <c r="AG8" s="90"/>
    </row>
    <row r="9" spans="1:33" ht="15">
      <c r="A9" s="12"/>
      <c r="B9" s="31"/>
      <c r="C9" s="31"/>
      <c r="D9" s="31"/>
      <c r="E9" s="31"/>
      <c r="F9" s="31"/>
      <c r="G9" s="15"/>
      <c r="H9" s="14"/>
      <c r="I9" s="32"/>
      <c r="J9" s="32"/>
      <c r="K9" s="31"/>
      <c r="L9" s="31"/>
      <c r="M9" s="31"/>
      <c r="N9" s="35"/>
      <c r="O9" s="14"/>
      <c r="P9" s="28"/>
      <c r="Q9" s="28"/>
      <c r="R9" s="32"/>
      <c r="S9" s="31"/>
      <c r="T9" s="28"/>
      <c r="U9" s="35"/>
      <c r="V9" s="14"/>
      <c r="W9" s="31"/>
      <c r="X9" s="31"/>
      <c r="Y9" s="28"/>
      <c r="Z9" s="71"/>
      <c r="AA9" s="71"/>
      <c r="AB9" s="35"/>
      <c r="AC9" s="14"/>
      <c r="AD9" s="71"/>
      <c r="AE9" s="71"/>
      <c r="AF9" s="71"/>
    </row>
    <row r="10" spans="1:33" s="37" customFormat="1">
      <c r="A10" s="36" t="s">
        <v>3</v>
      </c>
      <c r="B10" s="21">
        <f t="shared" ref="B10:Z10" si="2">+B6+B8</f>
        <v>150859</v>
      </c>
      <c r="C10" s="21">
        <f t="shared" si="2"/>
        <v>120592</v>
      </c>
      <c r="D10" s="21">
        <f t="shared" si="2"/>
        <v>145558</v>
      </c>
      <c r="E10" s="21">
        <f t="shared" si="2"/>
        <v>124958</v>
      </c>
      <c r="F10" s="21">
        <f t="shared" si="2"/>
        <v>163661</v>
      </c>
      <c r="G10" s="239">
        <f t="shared" si="2"/>
        <v>41012</v>
      </c>
      <c r="H10" s="239"/>
      <c r="I10" s="21">
        <f t="shared" si="2"/>
        <v>145312</v>
      </c>
      <c r="J10" s="21">
        <f t="shared" si="2"/>
        <v>128286</v>
      </c>
      <c r="K10" s="21">
        <f t="shared" si="2"/>
        <v>136668</v>
      </c>
      <c r="L10" s="21">
        <f t="shared" si="2"/>
        <v>124887</v>
      </c>
      <c r="M10" s="21">
        <f t="shared" si="2"/>
        <v>153687</v>
      </c>
      <c r="N10" s="244">
        <f t="shared" si="2"/>
        <v>60031</v>
      </c>
      <c r="O10" s="244"/>
      <c r="P10" s="21">
        <f t="shared" si="2"/>
        <v>192941</v>
      </c>
      <c r="Q10" s="21">
        <f t="shared" si="2"/>
        <v>203203</v>
      </c>
      <c r="R10" s="21">
        <f t="shared" si="2"/>
        <v>223616</v>
      </c>
      <c r="S10" s="21">
        <f t="shared" si="2"/>
        <v>226415</v>
      </c>
      <c r="T10" s="21">
        <f t="shared" si="2"/>
        <v>224429</v>
      </c>
      <c r="U10" s="244">
        <f t="shared" si="2"/>
        <v>51226</v>
      </c>
      <c r="V10" s="244"/>
      <c r="W10" s="21">
        <f t="shared" si="2"/>
        <v>217092</v>
      </c>
      <c r="X10" s="21">
        <f t="shared" si="2"/>
        <v>254307</v>
      </c>
      <c r="Y10" s="21">
        <f t="shared" si="2"/>
        <v>334032</v>
      </c>
      <c r="Z10" s="91">
        <f t="shared" si="2"/>
        <v>320018</v>
      </c>
      <c r="AA10" s="91">
        <f t="shared" ref="AA10:AB10" si="3">+AA6+AA8</f>
        <v>302979</v>
      </c>
      <c r="AB10" s="244">
        <f t="shared" si="3"/>
        <v>80197</v>
      </c>
      <c r="AC10" s="244">
        <f t="shared" ref="AC10:AF10" si="4">+AC6+AC8</f>
        <v>187138</v>
      </c>
      <c r="AD10" s="91">
        <f t="shared" si="4"/>
        <v>277142</v>
      </c>
      <c r="AE10" s="91">
        <f t="shared" si="4"/>
        <v>315388</v>
      </c>
      <c r="AF10" s="91">
        <f t="shared" si="4"/>
        <v>309032</v>
      </c>
    </row>
    <row r="11" spans="1:33" ht="13.5" thickBot="1">
      <c r="A11" s="13"/>
      <c r="B11" s="7"/>
      <c r="C11" s="7"/>
      <c r="D11" s="7"/>
      <c r="E11" s="7"/>
      <c r="F11" s="7"/>
      <c r="G11" s="17"/>
      <c r="H11" s="16"/>
      <c r="I11" s="42"/>
      <c r="J11" s="42"/>
      <c r="K11" s="7"/>
      <c r="L11" s="7"/>
      <c r="M11" s="7"/>
      <c r="N11" s="16"/>
      <c r="O11" s="16"/>
      <c r="P11" s="29"/>
      <c r="Q11" s="29"/>
      <c r="R11" s="7"/>
      <c r="S11" s="7"/>
      <c r="T11" s="29"/>
      <c r="U11" s="16"/>
      <c r="V11" s="16"/>
      <c r="W11" s="7"/>
      <c r="X11" s="7"/>
      <c r="Y11" s="29"/>
      <c r="Z11" s="29"/>
      <c r="AA11" s="29"/>
      <c r="AB11" s="16"/>
      <c r="AC11" s="16"/>
      <c r="AD11" s="29"/>
      <c r="AE11" s="29"/>
      <c r="AF11" s="29"/>
    </row>
    <row r="13" spans="1:33">
      <c r="T13" s="23"/>
    </row>
    <row r="14" spans="1:33">
      <c r="N14" s="23"/>
    </row>
    <row r="15" spans="1:33">
      <c r="C15" s="34"/>
      <c r="I15" s="40"/>
      <c r="J15" s="40"/>
      <c r="K15" s="40"/>
      <c r="L15" s="40"/>
      <c r="M15" s="40"/>
    </row>
    <row r="20" spans="6:6">
      <c r="F20" s="22"/>
    </row>
  </sheetData>
  <mergeCells count="12">
    <mergeCell ref="G10:H10"/>
    <mergeCell ref="N10:O10"/>
    <mergeCell ref="U10:V10"/>
    <mergeCell ref="AB6:AC6"/>
    <mergeCell ref="AB8:AC8"/>
    <mergeCell ref="AB10:AC10"/>
    <mergeCell ref="G6:H6"/>
    <mergeCell ref="N6:O6"/>
    <mergeCell ref="U6:V6"/>
    <mergeCell ref="G8:H8"/>
    <mergeCell ref="N8:O8"/>
    <mergeCell ref="U8:V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20"/>
  <sheetViews>
    <sheetView workbookViewId="0">
      <pane xSplit="1" ySplit="2" topLeftCell="K3" activePane="bottomRight" state="frozen"/>
      <selection pane="topRight" activeCell="B1" sqref="B1"/>
      <selection pane="bottomLeft" activeCell="A3" sqref="A3"/>
      <selection pane="bottomRight" activeCell="K6" sqref="K6:L6"/>
    </sheetView>
  </sheetViews>
  <sheetFormatPr baseColWidth="10" defaultRowHeight="12.75"/>
  <cols>
    <col min="2" max="4" width="7.5703125" bestFit="1" customWidth="1"/>
    <col min="5" max="5" width="6.5703125" bestFit="1" customWidth="1"/>
    <col min="6" max="11" width="7.5703125" bestFit="1" customWidth="1"/>
    <col min="12" max="12" width="6.5703125" bestFit="1" customWidth="1"/>
    <col min="13" max="13" width="7.42578125" bestFit="1" customWidth="1"/>
    <col min="14" max="18" width="7.5703125" bestFit="1" customWidth="1"/>
    <col min="19" max="19" width="6.5703125" bestFit="1" customWidth="1"/>
    <col min="20" max="21" width="7.5703125" bestFit="1" customWidth="1"/>
    <col min="22" max="22" width="7.85546875" customWidth="1"/>
    <col min="23" max="25" width="7.5703125" bestFit="1" customWidth="1"/>
    <col min="26" max="26" width="6.5703125" bestFit="1" customWidth="1"/>
    <col min="27" max="31" width="7.5703125" bestFit="1" customWidth="1"/>
    <col min="32" max="33" width="7.85546875" customWidth="1"/>
  </cols>
  <sheetData>
    <row r="1" spans="1:33">
      <c r="A1" s="2"/>
      <c r="B1" s="24">
        <v>45323</v>
      </c>
      <c r="C1" s="24">
        <f t="shared" ref="C1:R2" si="0">+B1+1</f>
        <v>45324</v>
      </c>
      <c r="D1" s="24">
        <f t="shared" si="0"/>
        <v>45325</v>
      </c>
      <c r="E1" s="24">
        <f t="shared" si="0"/>
        <v>45326</v>
      </c>
      <c r="F1" s="24">
        <f t="shared" si="0"/>
        <v>45327</v>
      </c>
      <c r="G1" s="24">
        <f t="shared" si="0"/>
        <v>45328</v>
      </c>
      <c r="H1" s="24">
        <f t="shared" si="0"/>
        <v>45329</v>
      </c>
      <c r="I1" s="24">
        <f t="shared" si="0"/>
        <v>45330</v>
      </c>
      <c r="J1" s="24">
        <f t="shared" si="0"/>
        <v>45331</v>
      </c>
      <c r="K1" s="24">
        <f t="shared" si="0"/>
        <v>45332</v>
      </c>
      <c r="L1" s="24">
        <f t="shared" si="0"/>
        <v>45333</v>
      </c>
      <c r="M1" s="24">
        <f t="shared" si="0"/>
        <v>45334</v>
      </c>
      <c r="N1" s="24">
        <f t="shared" si="0"/>
        <v>45335</v>
      </c>
      <c r="O1" s="24">
        <f t="shared" si="0"/>
        <v>45336</v>
      </c>
      <c r="P1" s="24">
        <f t="shared" si="0"/>
        <v>45337</v>
      </c>
      <c r="Q1" s="24">
        <f t="shared" si="0"/>
        <v>45338</v>
      </c>
      <c r="R1" s="24">
        <f t="shared" si="0"/>
        <v>45339</v>
      </c>
      <c r="S1" s="24">
        <f t="shared" ref="S1:AG2" si="1">+R1+1</f>
        <v>45340</v>
      </c>
      <c r="T1" s="24">
        <f t="shared" si="1"/>
        <v>45341</v>
      </c>
      <c r="U1" s="24">
        <f t="shared" si="1"/>
        <v>45342</v>
      </c>
      <c r="V1" s="24">
        <f t="shared" si="1"/>
        <v>45343</v>
      </c>
      <c r="W1" s="24">
        <f t="shared" si="1"/>
        <v>45344</v>
      </c>
      <c r="X1" s="24">
        <f t="shared" si="1"/>
        <v>45345</v>
      </c>
      <c r="Y1" s="24">
        <f t="shared" si="1"/>
        <v>45346</v>
      </c>
      <c r="Z1" s="24">
        <f t="shared" si="1"/>
        <v>45347</v>
      </c>
      <c r="AA1" s="24">
        <f t="shared" si="1"/>
        <v>45348</v>
      </c>
      <c r="AB1" s="24">
        <f t="shared" si="1"/>
        <v>45349</v>
      </c>
      <c r="AC1" s="24">
        <f t="shared" si="1"/>
        <v>45350</v>
      </c>
      <c r="AD1" s="24">
        <f t="shared" si="1"/>
        <v>45351</v>
      </c>
      <c r="AE1" s="24">
        <f t="shared" si="1"/>
        <v>45352</v>
      </c>
      <c r="AF1" s="88">
        <f t="shared" si="1"/>
        <v>45353</v>
      </c>
      <c r="AG1" s="38">
        <f t="shared" si="1"/>
        <v>45354</v>
      </c>
    </row>
    <row r="2" spans="1:33">
      <c r="A2" s="4"/>
      <c r="B2" s="5">
        <v>45505</v>
      </c>
      <c r="C2" s="5">
        <f t="shared" si="0"/>
        <v>45506</v>
      </c>
      <c r="D2" s="5">
        <f>+C2+1</f>
        <v>45507</v>
      </c>
      <c r="E2" s="5">
        <f t="shared" si="0"/>
        <v>45508</v>
      </c>
      <c r="F2" s="5">
        <f t="shared" si="0"/>
        <v>45509</v>
      </c>
      <c r="G2" s="5">
        <f t="shared" si="0"/>
        <v>45510</v>
      </c>
      <c r="H2" s="5">
        <f t="shared" si="0"/>
        <v>45511</v>
      </c>
      <c r="I2" s="5">
        <f t="shared" si="0"/>
        <v>45512</v>
      </c>
      <c r="J2" s="5">
        <f t="shared" si="0"/>
        <v>45513</v>
      </c>
      <c r="K2" s="5">
        <f t="shared" si="0"/>
        <v>45514</v>
      </c>
      <c r="L2" s="5">
        <f t="shared" si="0"/>
        <v>45515</v>
      </c>
      <c r="M2" s="5">
        <f t="shared" si="0"/>
        <v>45516</v>
      </c>
      <c r="N2" s="5">
        <f t="shared" si="0"/>
        <v>45517</v>
      </c>
      <c r="O2" s="5">
        <f t="shared" si="0"/>
        <v>45518</v>
      </c>
      <c r="P2" s="5">
        <f t="shared" si="0"/>
        <v>45519</v>
      </c>
      <c r="Q2" s="5">
        <f t="shared" si="0"/>
        <v>45520</v>
      </c>
      <c r="R2" s="5">
        <f t="shared" si="0"/>
        <v>45521</v>
      </c>
      <c r="S2" s="5">
        <f t="shared" si="1"/>
        <v>45522</v>
      </c>
      <c r="T2" s="5">
        <f t="shared" si="1"/>
        <v>45523</v>
      </c>
      <c r="U2" s="5">
        <f t="shared" si="1"/>
        <v>45524</v>
      </c>
      <c r="V2" s="5">
        <f t="shared" si="1"/>
        <v>45525</v>
      </c>
      <c r="W2" s="5">
        <f t="shared" si="1"/>
        <v>45526</v>
      </c>
      <c r="X2" s="5">
        <f t="shared" si="1"/>
        <v>45527</v>
      </c>
      <c r="Y2" s="5">
        <f t="shared" si="1"/>
        <v>45528</v>
      </c>
      <c r="Z2" s="5">
        <f t="shared" si="1"/>
        <v>45529</v>
      </c>
      <c r="AA2" s="5">
        <f t="shared" si="1"/>
        <v>45530</v>
      </c>
      <c r="AB2" s="5">
        <f t="shared" si="1"/>
        <v>45531</v>
      </c>
      <c r="AC2" s="5">
        <f t="shared" si="1"/>
        <v>45532</v>
      </c>
      <c r="AD2" s="5">
        <f t="shared" si="1"/>
        <v>45533</v>
      </c>
      <c r="AE2" s="5">
        <f t="shared" si="1"/>
        <v>45534</v>
      </c>
      <c r="AF2" s="89">
        <f t="shared" si="1"/>
        <v>45535</v>
      </c>
      <c r="AG2" s="39">
        <f t="shared" si="1"/>
        <v>45536</v>
      </c>
    </row>
    <row r="3" spans="1:33" ht="13.5" thickBot="1">
      <c r="A3" s="6"/>
      <c r="B3" s="7"/>
      <c r="C3" s="7"/>
      <c r="D3" s="16"/>
      <c r="E3" s="16"/>
      <c r="F3" s="7"/>
      <c r="G3" s="7"/>
      <c r="H3" s="7"/>
      <c r="I3" s="7"/>
      <c r="J3" s="7"/>
      <c r="K3" s="16"/>
      <c r="L3" s="16"/>
      <c r="M3" s="42"/>
      <c r="N3" s="42"/>
      <c r="O3" s="7"/>
      <c r="P3" s="7"/>
      <c r="Q3" s="7"/>
      <c r="R3" s="16"/>
      <c r="S3" s="16"/>
      <c r="T3" s="16"/>
      <c r="U3" s="7"/>
      <c r="V3" s="7"/>
      <c r="W3" s="7"/>
      <c r="X3" s="7"/>
      <c r="Y3" s="16"/>
      <c r="Z3" s="16"/>
      <c r="AA3" s="7"/>
      <c r="AB3" s="7"/>
      <c r="AC3" s="7"/>
      <c r="AD3" s="7"/>
      <c r="AE3" s="7"/>
      <c r="AF3" s="16"/>
      <c r="AG3" s="93"/>
    </row>
    <row r="4" spans="1:33" ht="15">
      <c r="A4" s="9" t="s">
        <v>0</v>
      </c>
      <c r="B4" s="1"/>
      <c r="C4" s="1"/>
      <c r="D4" s="14"/>
      <c r="E4" s="41"/>
      <c r="F4" s="1"/>
      <c r="G4" s="1"/>
      <c r="H4" s="1"/>
      <c r="I4" s="1"/>
      <c r="J4" s="1"/>
      <c r="K4" s="55"/>
      <c r="L4" s="41"/>
      <c r="M4" s="25"/>
      <c r="N4" s="25"/>
      <c r="O4" s="1"/>
      <c r="P4" s="1"/>
      <c r="Q4" s="1"/>
      <c r="R4" s="14"/>
      <c r="S4" s="41"/>
      <c r="T4" s="55"/>
      <c r="U4" s="30"/>
      <c r="V4" s="1"/>
      <c r="W4" s="1"/>
      <c r="X4" s="30"/>
      <c r="Y4" s="14"/>
      <c r="Z4" s="41"/>
      <c r="AA4" s="1"/>
      <c r="AB4" s="1"/>
      <c r="AC4" s="30"/>
      <c r="AD4" s="30"/>
      <c r="AE4" s="30"/>
      <c r="AF4" s="94"/>
      <c r="AG4" s="95"/>
    </row>
    <row r="5" spans="1:33" ht="15">
      <c r="A5" s="10"/>
      <c r="B5" s="1"/>
      <c r="C5" s="1"/>
      <c r="D5" s="14"/>
      <c r="E5" s="14"/>
      <c r="F5" s="1"/>
      <c r="G5" s="1"/>
      <c r="H5" s="1"/>
      <c r="I5" s="1"/>
      <c r="J5" s="1"/>
      <c r="K5" s="15"/>
      <c r="L5" s="14"/>
      <c r="M5" s="25"/>
      <c r="N5" s="25"/>
      <c r="O5" s="1"/>
      <c r="P5" s="1"/>
      <c r="Q5" s="1"/>
      <c r="R5" s="14"/>
      <c r="S5" s="14"/>
      <c r="T5" s="15"/>
      <c r="U5" s="28"/>
      <c r="V5" s="25"/>
      <c r="W5" s="1"/>
      <c r="X5" s="28"/>
      <c r="Y5" s="14"/>
      <c r="Z5" s="14"/>
      <c r="AA5" s="1"/>
      <c r="AB5" s="1"/>
      <c r="AC5" s="28"/>
      <c r="AD5" s="28"/>
      <c r="AE5" s="28"/>
      <c r="AF5" s="94"/>
      <c r="AG5" s="96"/>
    </row>
    <row r="6" spans="1:33" ht="15" customHeight="1">
      <c r="A6" s="11" t="s">
        <v>1</v>
      </c>
      <c r="B6" s="18">
        <v>143984</v>
      </c>
      <c r="C6" s="18">
        <v>145219</v>
      </c>
      <c r="D6" s="234">
        <v>0</v>
      </c>
      <c r="E6" s="234"/>
      <c r="F6" s="18">
        <v>180405</v>
      </c>
      <c r="G6" s="18">
        <v>170311</v>
      </c>
      <c r="H6" s="18">
        <v>191104</v>
      </c>
      <c r="I6" s="18">
        <v>122435</v>
      </c>
      <c r="J6" s="18">
        <v>141655</v>
      </c>
      <c r="K6" s="237">
        <v>0</v>
      </c>
      <c r="L6" s="237"/>
      <c r="M6" s="33">
        <v>156027</v>
      </c>
      <c r="N6" s="33">
        <v>142884</v>
      </c>
      <c r="O6" s="47">
        <v>149583</v>
      </c>
      <c r="P6" s="47">
        <v>124065</v>
      </c>
      <c r="Q6" s="47">
        <v>144427</v>
      </c>
      <c r="R6" s="245">
        <v>137964</v>
      </c>
      <c r="S6" s="245"/>
      <c r="T6" s="245"/>
      <c r="U6" s="33">
        <v>126710</v>
      </c>
      <c r="V6" s="33">
        <v>146904</v>
      </c>
      <c r="W6" s="33">
        <v>113648</v>
      </c>
      <c r="X6" s="33">
        <v>158150</v>
      </c>
      <c r="Y6" s="245">
        <v>0</v>
      </c>
      <c r="Z6" s="245"/>
      <c r="AA6" s="47">
        <v>164333</v>
      </c>
      <c r="AB6" s="47">
        <v>134564</v>
      </c>
      <c r="AC6" s="33">
        <v>123639</v>
      </c>
      <c r="AD6" s="33">
        <v>87949</v>
      </c>
      <c r="AE6" s="33">
        <v>94013</v>
      </c>
      <c r="AF6" s="249"/>
      <c r="AG6" s="250"/>
    </row>
    <row r="7" spans="1:33" ht="15">
      <c r="A7" s="12"/>
      <c r="B7" s="19"/>
      <c r="C7" s="19"/>
      <c r="D7" s="44"/>
      <c r="E7" s="44"/>
      <c r="F7" s="19"/>
      <c r="G7" s="19"/>
      <c r="H7" s="19"/>
      <c r="I7" s="19"/>
      <c r="J7" s="19"/>
      <c r="K7" s="46"/>
      <c r="L7" s="44"/>
      <c r="M7" s="32"/>
      <c r="N7" s="32"/>
      <c r="O7" s="31"/>
      <c r="P7" s="31"/>
      <c r="Q7" s="31"/>
      <c r="R7" s="35"/>
      <c r="S7" s="14"/>
      <c r="T7" s="15"/>
      <c r="U7" s="28"/>
      <c r="V7" s="32"/>
      <c r="W7" s="31"/>
      <c r="X7" s="28"/>
      <c r="Y7" s="35"/>
      <c r="Z7" s="14"/>
      <c r="AA7" s="31"/>
      <c r="AB7" s="31"/>
      <c r="AC7" s="28"/>
      <c r="AD7" s="28"/>
      <c r="AE7" s="28"/>
      <c r="AF7" s="97"/>
      <c r="AG7" s="96"/>
    </row>
    <row r="8" spans="1:33" ht="15" customHeight="1">
      <c r="A8" s="12" t="s">
        <v>2</v>
      </c>
      <c r="B8" s="18">
        <v>141415</v>
      </c>
      <c r="C8" s="18">
        <v>119875</v>
      </c>
      <c r="D8" s="234">
        <v>82807</v>
      </c>
      <c r="E8" s="234"/>
      <c r="F8" s="18">
        <v>55796</v>
      </c>
      <c r="G8" s="18">
        <v>77038</v>
      </c>
      <c r="H8" s="18">
        <v>95555</v>
      </c>
      <c r="I8" s="18">
        <v>131475</v>
      </c>
      <c r="J8" s="18">
        <v>70230</v>
      </c>
      <c r="K8" s="237">
        <v>68913</v>
      </c>
      <c r="L8" s="237"/>
      <c r="M8" s="33">
        <v>50274</v>
      </c>
      <c r="N8" s="33">
        <v>59805</v>
      </c>
      <c r="O8" s="47">
        <v>55747</v>
      </c>
      <c r="P8" s="47">
        <v>67193</v>
      </c>
      <c r="Q8" s="47">
        <v>51155</v>
      </c>
      <c r="R8" s="245">
        <v>53182</v>
      </c>
      <c r="S8" s="245"/>
      <c r="T8" s="245"/>
      <c r="U8" s="33">
        <v>92643</v>
      </c>
      <c r="V8" s="33">
        <v>73175</v>
      </c>
      <c r="W8" s="47">
        <v>59282</v>
      </c>
      <c r="X8" s="33">
        <v>39581</v>
      </c>
      <c r="Y8" s="245">
        <v>66968</v>
      </c>
      <c r="Z8" s="245"/>
      <c r="AA8" s="33">
        <v>41094</v>
      </c>
      <c r="AB8" s="33">
        <v>49704</v>
      </c>
      <c r="AC8" s="33">
        <v>37629</v>
      </c>
      <c r="AD8" s="33">
        <v>34729</v>
      </c>
      <c r="AE8" s="33">
        <v>30209</v>
      </c>
      <c r="AF8" s="249">
        <v>39829</v>
      </c>
      <c r="AG8" s="250"/>
    </row>
    <row r="9" spans="1:33" ht="15">
      <c r="A9" s="12"/>
      <c r="B9" s="19"/>
      <c r="C9" s="19"/>
      <c r="D9" s="44"/>
      <c r="E9" s="44"/>
      <c r="F9" s="19"/>
      <c r="G9" s="19"/>
      <c r="H9" s="19"/>
      <c r="I9" s="19"/>
      <c r="J9" s="19"/>
      <c r="K9" s="46"/>
      <c r="L9" s="44"/>
      <c r="M9" s="32"/>
      <c r="N9" s="32"/>
      <c r="O9" s="31"/>
      <c r="P9" s="31"/>
      <c r="Q9" s="31"/>
      <c r="R9" s="35"/>
      <c r="S9" s="14"/>
      <c r="T9" s="15"/>
      <c r="U9" s="28"/>
      <c r="V9" s="32"/>
      <c r="W9" s="31"/>
      <c r="X9" s="28"/>
      <c r="Y9" s="35"/>
      <c r="Z9" s="14"/>
      <c r="AA9" s="31"/>
      <c r="AB9" s="31"/>
      <c r="AC9" s="28"/>
      <c r="AD9" s="28"/>
      <c r="AE9" s="28"/>
      <c r="AF9" s="97"/>
      <c r="AG9" s="96"/>
    </row>
    <row r="10" spans="1:33" s="37" customFormat="1">
      <c r="A10" s="36" t="s">
        <v>3</v>
      </c>
      <c r="B10" s="21">
        <f>+B6+B8</f>
        <v>285399</v>
      </c>
      <c r="C10" s="21">
        <f t="shared" ref="C10:AD10" si="2">+C6+C8</f>
        <v>265094</v>
      </c>
      <c r="D10" s="244">
        <f>+D6+D8</f>
        <v>82807</v>
      </c>
      <c r="E10" s="244"/>
      <c r="F10" s="21">
        <f t="shared" si="2"/>
        <v>236201</v>
      </c>
      <c r="G10" s="21">
        <f t="shared" si="2"/>
        <v>247349</v>
      </c>
      <c r="H10" s="21">
        <f t="shared" si="2"/>
        <v>286659</v>
      </c>
      <c r="I10" s="21">
        <f t="shared" si="2"/>
        <v>253910</v>
      </c>
      <c r="J10" s="21">
        <f t="shared" si="2"/>
        <v>211885</v>
      </c>
      <c r="K10" s="239">
        <f t="shared" si="2"/>
        <v>68913</v>
      </c>
      <c r="L10" s="239"/>
      <c r="M10" s="21">
        <f t="shared" si="2"/>
        <v>206301</v>
      </c>
      <c r="N10" s="21">
        <f t="shared" si="2"/>
        <v>202689</v>
      </c>
      <c r="O10" s="21">
        <f t="shared" si="2"/>
        <v>205330</v>
      </c>
      <c r="P10" s="21">
        <f t="shared" si="2"/>
        <v>191258</v>
      </c>
      <c r="Q10" s="21">
        <f t="shared" si="2"/>
        <v>195582</v>
      </c>
      <c r="R10" s="244">
        <f t="shared" si="2"/>
        <v>191146</v>
      </c>
      <c r="S10" s="244"/>
      <c r="T10" s="244"/>
      <c r="U10" s="21">
        <f t="shared" si="2"/>
        <v>219353</v>
      </c>
      <c r="V10" s="21">
        <f t="shared" si="2"/>
        <v>220079</v>
      </c>
      <c r="W10" s="21">
        <f t="shared" si="2"/>
        <v>172930</v>
      </c>
      <c r="X10" s="21">
        <f t="shared" si="2"/>
        <v>197731</v>
      </c>
      <c r="Y10" s="244">
        <f t="shared" si="2"/>
        <v>66968</v>
      </c>
      <c r="Z10" s="244"/>
      <c r="AA10" s="21">
        <f t="shared" si="2"/>
        <v>205427</v>
      </c>
      <c r="AB10" s="21">
        <f t="shared" si="2"/>
        <v>184268</v>
      </c>
      <c r="AC10" s="21">
        <f t="shared" si="2"/>
        <v>161268</v>
      </c>
      <c r="AD10" s="21">
        <f t="shared" si="2"/>
        <v>122678</v>
      </c>
      <c r="AE10" s="21">
        <f t="shared" ref="AE10" si="3">+AE6+AE8</f>
        <v>124222</v>
      </c>
      <c r="AF10" s="251">
        <f>+AF6+AF8</f>
        <v>39829</v>
      </c>
      <c r="AG10" s="252"/>
    </row>
    <row r="11" spans="1:33" ht="13.5" thickBot="1">
      <c r="A11" s="13"/>
      <c r="B11" s="7"/>
      <c r="C11" s="7"/>
      <c r="D11" s="16"/>
      <c r="E11" s="16"/>
      <c r="F11" s="7"/>
      <c r="G11" s="7"/>
      <c r="H11" s="7"/>
      <c r="I11" s="7"/>
      <c r="J11" s="7"/>
      <c r="K11" s="17"/>
      <c r="L11" s="16"/>
      <c r="M11" s="42"/>
      <c r="N11" s="42"/>
      <c r="O11" s="7"/>
      <c r="P11" s="7"/>
      <c r="Q11" s="7"/>
      <c r="R11" s="16"/>
      <c r="S11" s="16"/>
      <c r="T11" s="17"/>
      <c r="U11" s="29"/>
      <c r="V11" s="7"/>
      <c r="W11" s="7"/>
      <c r="X11" s="29"/>
      <c r="Y11" s="16"/>
      <c r="Z11" s="16"/>
      <c r="AA11" s="7"/>
      <c r="AB11" s="7"/>
      <c r="AC11" s="29"/>
      <c r="AD11" s="29"/>
      <c r="AE11" s="29"/>
      <c r="AF11" s="16"/>
      <c r="AG11" s="93"/>
    </row>
    <row r="13" spans="1:33">
      <c r="X13" s="23"/>
    </row>
    <row r="14" spans="1:33">
      <c r="R14" s="2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</row>
    <row r="15" spans="1:33">
      <c r="G15" s="34"/>
      <c r="M15" s="40"/>
      <c r="N15" s="40"/>
      <c r="O15" s="40"/>
      <c r="P15" s="40"/>
      <c r="Q15" s="40"/>
      <c r="V15" s="134">
        <f>+U10-V8</f>
        <v>146178</v>
      </c>
      <c r="W15" s="134">
        <f>+V10-W8</f>
        <v>160797</v>
      </c>
      <c r="X15" s="134">
        <f>+W10-X8</f>
        <v>133349</v>
      </c>
      <c r="Y15" s="134">
        <f>+X10-Y8</f>
        <v>130763</v>
      </c>
      <c r="Z15" s="134"/>
      <c r="AA15" s="134">
        <f>+Y10-AA8</f>
        <v>25874</v>
      </c>
      <c r="AB15" s="134">
        <f>+AA10-AB8</f>
        <v>155723</v>
      </c>
      <c r="AC15" s="134">
        <f>+AB10-AC8</f>
        <v>146639</v>
      </c>
      <c r="AD15" s="134">
        <f>+AC10-AD8</f>
        <v>126539</v>
      </c>
      <c r="AE15" s="134">
        <f>+AD10-AE8</f>
        <v>92469</v>
      </c>
    </row>
    <row r="16" spans="1:33"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</row>
    <row r="17" spans="10:31"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</row>
    <row r="20" spans="10:31">
      <c r="J20" s="22"/>
    </row>
  </sheetData>
  <mergeCells count="15">
    <mergeCell ref="AF6:AG6"/>
    <mergeCell ref="AF8:AG8"/>
    <mergeCell ref="AF10:AG10"/>
    <mergeCell ref="D10:E10"/>
    <mergeCell ref="K10:L10"/>
    <mergeCell ref="Y10:Z10"/>
    <mergeCell ref="D6:E6"/>
    <mergeCell ref="K6:L6"/>
    <mergeCell ref="Y6:Z6"/>
    <mergeCell ref="D8:E8"/>
    <mergeCell ref="K8:L8"/>
    <mergeCell ref="Y8:Z8"/>
    <mergeCell ref="R6:T6"/>
    <mergeCell ref="R8:T8"/>
    <mergeCell ref="R10:T10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F20" sqref="AF20"/>
    </sheetView>
  </sheetViews>
  <sheetFormatPr baseColWidth="10" defaultRowHeight="12.75"/>
  <cols>
    <col min="2" max="3" width="6.7109375" bestFit="1" customWidth="1"/>
    <col min="4" max="4" width="8" customWidth="1"/>
    <col min="5" max="5" width="7.5703125" bestFit="1" customWidth="1"/>
    <col min="6" max="6" width="7.5703125" customWidth="1"/>
    <col min="7" max="9" width="7.5703125" bestFit="1" customWidth="1"/>
    <col min="10" max="10" width="6.5703125" bestFit="1" customWidth="1"/>
    <col min="11" max="16" width="7.5703125" bestFit="1" customWidth="1"/>
    <col min="17" max="17" width="6.5703125" bestFit="1" customWidth="1"/>
    <col min="18" max="18" width="7.42578125" bestFit="1" customWidth="1"/>
    <col min="19" max="23" width="7.5703125" bestFit="1" customWidth="1"/>
    <col min="24" max="24" width="6.5703125" bestFit="1" customWidth="1"/>
    <col min="25" max="26" width="7.5703125" bestFit="1" customWidth="1"/>
    <col min="27" max="27" width="7.85546875" customWidth="1"/>
    <col min="28" max="28" width="7.5703125" bestFit="1" customWidth="1"/>
    <col min="29" max="30" width="7.42578125" customWidth="1"/>
    <col min="31" max="31" width="8.140625" customWidth="1"/>
  </cols>
  <sheetData>
    <row r="1" spans="1:31">
      <c r="A1" s="2"/>
      <c r="B1" s="24">
        <v>45536</v>
      </c>
      <c r="C1" s="24">
        <f t="shared" ref="C1:R2" si="0">+B1+1</f>
        <v>45537</v>
      </c>
      <c r="D1" s="24">
        <f t="shared" si="0"/>
        <v>45538</v>
      </c>
      <c r="E1" s="24">
        <f t="shared" si="0"/>
        <v>45539</v>
      </c>
      <c r="F1" s="24">
        <f t="shared" si="0"/>
        <v>45540</v>
      </c>
      <c r="G1" s="24">
        <f t="shared" si="0"/>
        <v>45541</v>
      </c>
      <c r="H1" s="24">
        <f t="shared" si="0"/>
        <v>45542</v>
      </c>
      <c r="I1" s="24">
        <f t="shared" si="0"/>
        <v>45543</v>
      </c>
      <c r="J1" s="24">
        <f t="shared" si="0"/>
        <v>45544</v>
      </c>
      <c r="K1" s="24">
        <f t="shared" si="0"/>
        <v>45545</v>
      </c>
      <c r="L1" s="24">
        <f t="shared" si="0"/>
        <v>45546</v>
      </c>
      <c r="M1" s="24">
        <f t="shared" si="0"/>
        <v>45547</v>
      </c>
      <c r="N1" s="24">
        <f t="shared" si="0"/>
        <v>45548</v>
      </c>
      <c r="O1" s="24">
        <f t="shared" si="0"/>
        <v>45549</v>
      </c>
      <c r="P1" s="24">
        <f t="shared" si="0"/>
        <v>45550</v>
      </c>
      <c r="Q1" s="24">
        <f t="shared" si="0"/>
        <v>45551</v>
      </c>
      <c r="R1" s="24">
        <f t="shared" si="0"/>
        <v>45552</v>
      </c>
      <c r="S1" s="24">
        <f t="shared" ref="R1:AE2" si="1">+R1+1</f>
        <v>45553</v>
      </c>
      <c r="T1" s="24">
        <f t="shared" si="1"/>
        <v>45554</v>
      </c>
      <c r="U1" s="24">
        <f t="shared" si="1"/>
        <v>45555</v>
      </c>
      <c r="V1" s="24">
        <f t="shared" si="1"/>
        <v>45556</v>
      </c>
      <c r="W1" s="24">
        <f t="shared" si="1"/>
        <v>45557</v>
      </c>
      <c r="X1" s="24">
        <f t="shared" si="1"/>
        <v>45558</v>
      </c>
      <c r="Y1" s="24">
        <f t="shared" si="1"/>
        <v>45559</v>
      </c>
      <c r="Z1" s="24">
        <f t="shared" si="1"/>
        <v>45560</v>
      </c>
      <c r="AA1" s="24">
        <f t="shared" si="1"/>
        <v>45561</v>
      </c>
      <c r="AB1" s="24">
        <f t="shared" si="1"/>
        <v>45562</v>
      </c>
      <c r="AC1" s="24">
        <f t="shared" si="1"/>
        <v>45563</v>
      </c>
      <c r="AD1" s="24">
        <f t="shared" si="1"/>
        <v>45564</v>
      </c>
      <c r="AE1" s="24">
        <f t="shared" si="1"/>
        <v>45565</v>
      </c>
    </row>
    <row r="2" spans="1:31">
      <c r="A2" s="4"/>
      <c r="B2" s="5">
        <v>45536</v>
      </c>
      <c r="C2" s="5">
        <f t="shared" si="0"/>
        <v>45537</v>
      </c>
      <c r="D2" s="5">
        <f t="shared" si="0"/>
        <v>45538</v>
      </c>
      <c r="E2" s="5">
        <f t="shared" si="0"/>
        <v>45539</v>
      </c>
      <c r="F2" s="5">
        <f t="shared" si="0"/>
        <v>45540</v>
      </c>
      <c r="G2" s="5">
        <f t="shared" si="0"/>
        <v>45541</v>
      </c>
      <c r="H2" s="5">
        <f t="shared" si="0"/>
        <v>45542</v>
      </c>
      <c r="I2" s="5">
        <f t="shared" si="0"/>
        <v>45543</v>
      </c>
      <c r="J2" s="5">
        <f t="shared" si="0"/>
        <v>45544</v>
      </c>
      <c r="K2" s="5">
        <f t="shared" si="0"/>
        <v>45545</v>
      </c>
      <c r="L2" s="5">
        <f t="shared" si="0"/>
        <v>45546</v>
      </c>
      <c r="M2" s="5">
        <f t="shared" si="0"/>
        <v>45547</v>
      </c>
      <c r="N2" s="5">
        <f t="shared" si="0"/>
        <v>45548</v>
      </c>
      <c r="O2" s="5">
        <f t="shared" si="0"/>
        <v>45549</v>
      </c>
      <c r="P2" s="5">
        <f t="shared" si="0"/>
        <v>45550</v>
      </c>
      <c r="Q2" s="5">
        <f t="shared" si="0"/>
        <v>45551</v>
      </c>
      <c r="R2" s="5">
        <f t="shared" si="1"/>
        <v>45552</v>
      </c>
      <c r="S2" s="5">
        <f t="shared" si="1"/>
        <v>45553</v>
      </c>
      <c r="T2" s="5">
        <f t="shared" si="1"/>
        <v>45554</v>
      </c>
      <c r="U2" s="5">
        <f t="shared" si="1"/>
        <v>45555</v>
      </c>
      <c r="V2" s="5">
        <f t="shared" si="1"/>
        <v>45556</v>
      </c>
      <c r="W2" s="5">
        <f t="shared" si="1"/>
        <v>45557</v>
      </c>
      <c r="X2" s="5">
        <f t="shared" si="1"/>
        <v>45558</v>
      </c>
      <c r="Y2" s="5">
        <f t="shared" si="1"/>
        <v>45559</v>
      </c>
      <c r="Z2" s="5">
        <f t="shared" si="1"/>
        <v>45560</v>
      </c>
      <c r="AA2" s="5">
        <f t="shared" si="1"/>
        <v>45561</v>
      </c>
      <c r="AB2" s="5">
        <f t="shared" si="1"/>
        <v>45562</v>
      </c>
      <c r="AC2" s="5">
        <f t="shared" si="1"/>
        <v>45563</v>
      </c>
      <c r="AD2" s="5">
        <f t="shared" si="1"/>
        <v>45564</v>
      </c>
      <c r="AE2" s="5">
        <f t="shared" si="1"/>
        <v>45565</v>
      </c>
    </row>
    <row r="3" spans="1:31" ht="13.5" thickBot="1">
      <c r="A3" s="6"/>
      <c r="B3" s="17"/>
      <c r="C3" s="115"/>
      <c r="D3" s="42"/>
      <c r="E3" s="42"/>
      <c r="F3" s="42"/>
      <c r="G3" s="7"/>
      <c r="H3" s="16"/>
      <c r="I3" s="16"/>
      <c r="J3" s="7"/>
      <c r="K3" s="7"/>
      <c r="L3" s="7"/>
      <c r="M3" s="7"/>
      <c r="N3" s="7"/>
      <c r="O3" s="16"/>
      <c r="P3" s="120"/>
      <c r="Q3" s="122"/>
      <c r="R3" s="42"/>
      <c r="S3" s="42"/>
      <c r="T3" s="7"/>
      <c r="U3" s="7"/>
      <c r="V3" s="16"/>
      <c r="W3" s="16"/>
      <c r="X3" s="42"/>
      <c r="Y3" s="7"/>
      <c r="Z3" s="7"/>
      <c r="AA3" s="7"/>
      <c r="AB3" s="7"/>
      <c r="AC3" s="16"/>
      <c r="AD3" s="16"/>
      <c r="AE3" s="126"/>
    </row>
    <row r="4" spans="1:31" s="113" customFormat="1" ht="11.25">
      <c r="A4" s="100" t="s">
        <v>0</v>
      </c>
      <c r="B4" s="101"/>
      <c r="C4" s="116"/>
      <c r="D4" s="102"/>
      <c r="E4" s="109"/>
      <c r="F4" s="109"/>
      <c r="G4" s="110"/>
      <c r="H4" s="111"/>
      <c r="I4" s="111"/>
      <c r="J4" s="110"/>
      <c r="K4" s="110"/>
      <c r="L4" s="110"/>
      <c r="M4" s="110"/>
      <c r="N4" s="110"/>
      <c r="O4" s="103"/>
      <c r="P4" s="121"/>
      <c r="Q4" s="123"/>
      <c r="R4" s="109"/>
      <c r="S4" s="109"/>
      <c r="T4" s="110"/>
      <c r="U4" s="110"/>
      <c r="V4" s="112"/>
      <c r="W4" s="111"/>
      <c r="X4" s="125"/>
      <c r="Y4" s="104"/>
      <c r="Z4" s="104"/>
      <c r="AA4" s="110"/>
      <c r="AB4" s="110"/>
      <c r="AC4" s="111"/>
      <c r="AD4" s="111"/>
      <c r="AE4" s="127"/>
    </row>
    <row r="5" spans="1:31" s="113" customFormat="1" ht="11.25">
      <c r="A5" s="105"/>
      <c r="B5" s="106"/>
      <c r="C5" s="117"/>
      <c r="D5" s="109"/>
      <c r="E5" s="109"/>
      <c r="F5" s="109"/>
      <c r="G5" s="110"/>
      <c r="H5" s="111"/>
      <c r="I5" s="111"/>
      <c r="J5" s="110"/>
      <c r="K5" s="110"/>
      <c r="L5" s="110"/>
      <c r="M5" s="110"/>
      <c r="N5" s="110"/>
      <c r="O5" s="46"/>
      <c r="P5" s="85"/>
      <c r="Q5" s="124"/>
      <c r="R5" s="109"/>
      <c r="S5" s="109"/>
      <c r="T5" s="110"/>
      <c r="U5" s="110"/>
      <c r="V5" s="111"/>
      <c r="W5" s="111"/>
      <c r="X5" s="109"/>
      <c r="Y5" s="69"/>
      <c r="Z5" s="69"/>
      <c r="AA5" s="109"/>
      <c r="AB5" s="110"/>
      <c r="AC5" s="111"/>
      <c r="AD5" s="111"/>
      <c r="AE5" s="128"/>
    </row>
    <row r="6" spans="1:31" s="113" customFormat="1" ht="15" customHeight="1">
      <c r="A6" s="36" t="s">
        <v>1</v>
      </c>
      <c r="B6" s="114"/>
      <c r="C6" s="118">
        <v>114495</v>
      </c>
      <c r="D6" s="109">
        <v>122260</v>
      </c>
      <c r="E6" s="43">
        <v>146408</v>
      </c>
      <c r="F6" s="18">
        <v>121746</v>
      </c>
      <c r="G6" s="18">
        <v>123558</v>
      </c>
      <c r="H6" s="98"/>
      <c r="I6" s="98"/>
      <c r="J6" s="18">
        <v>151955</v>
      </c>
      <c r="K6" s="18">
        <v>140836</v>
      </c>
      <c r="L6" s="18">
        <v>135935</v>
      </c>
      <c r="M6" s="18">
        <v>119873</v>
      </c>
      <c r="N6" s="18">
        <v>133201</v>
      </c>
      <c r="O6" s="237">
        <v>0</v>
      </c>
      <c r="P6" s="237"/>
      <c r="Q6" s="66">
        <v>149614</v>
      </c>
      <c r="R6" s="66">
        <v>130676</v>
      </c>
      <c r="S6" s="66">
        <v>120617</v>
      </c>
      <c r="T6" s="18">
        <v>102361</v>
      </c>
      <c r="U6" s="18">
        <v>132049</v>
      </c>
      <c r="V6" s="237">
        <v>0</v>
      </c>
      <c r="W6" s="237"/>
      <c r="X6" s="66">
        <v>143144</v>
      </c>
      <c r="Y6" s="66">
        <v>106524</v>
      </c>
      <c r="Z6" s="66">
        <v>124811</v>
      </c>
      <c r="AA6" s="66">
        <v>121210</v>
      </c>
      <c r="AB6" s="66">
        <v>142378</v>
      </c>
      <c r="AC6" s="237">
        <v>0</v>
      </c>
      <c r="AD6" s="237"/>
      <c r="AE6" s="135">
        <v>131590</v>
      </c>
    </row>
    <row r="7" spans="1:31" s="113" customFormat="1" ht="11.25">
      <c r="A7" s="87"/>
      <c r="B7" s="108"/>
      <c r="C7" s="117"/>
      <c r="D7" s="109"/>
      <c r="E7" s="109"/>
      <c r="F7" s="109"/>
      <c r="G7" s="110"/>
      <c r="H7" s="111"/>
      <c r="I7" s="111"/>
      <c r="J7" s="110"/>
      <c r="K7" s="110"/>
      <c r="L7" s="110"/>
      <c r="M7" s="110"/>
      <c r="N7" s="110"/>
      <c r="O7" s="46"/>
      <c r="P7" s="85"/>
      <c r="Q7" s="109"/>
      <c r="R7" s="109"/>
      <c r="S7" s="109"/>
      <c r="T7" s="110"/>
      <c r="U7" s="110"/>
      <c r="V7" s="111"/>
      <c r="W7" s="111"/>
      <c r="X7" s="109"/>
      <c r="Y7" s="69"/>
      <c r="Z7" s="69"/>
      <c r="AA7" s="109"/>
      <c r="AB7" s="110"/>
      <c r="AC7" s="111"/>
      <c r="AD7" s="111"/>
      <c r="AE7" s="128"/>
    </row>
    <row r="8" spans="1:31" s="113" customFormat="1" ht="15" customHeight="1">
      <c r="A8" s="87" t="s">
        <v>2</v>
      </c>
      <c r="B8" s="108">
        <v>39829</v>
      </c>
      <c r="C8" s="119">
        <v>28410</v>
      </c>
      <c r="D8" s="43">
        <v>34193</v>
      </c>
      <c r="E8" s="43">
        <v>39603</v>
      </c>
      <c r="F8" s="18">
        <v>51597</v>
      </c>
      <c r="G8" s="18">
        <v>49372</v>
      </c>
      <c r="H8" s="234">
        <v>62019</v>
      </c>
      <c r="I8" s="234"/>
      <c r="J8" s="18">
        <v>48510</v>
      </c>
      <c r="K8" s="18">
        <v>54576</v>
      </c>
      <c r="L8" s="18">
        <v>41635</v>
      </c>
      <c r="M8" s="18">
        <v>38104</v>
      </c>
      <c r="N8" s="18">
        <v>35416</v>
      </c>
      <c r="O8" s="237">
        <v>62123</v>
      </c>
      <c r="P8" s="237"/>
      <c r="Q8" s="66">
        <v>47637</v>
      </c>
      <c r="R8" s="18">
        <v>53795</v>
      </c>
      <c r="S8" s="66">
        <v>41575</v>
      </c>
      <c r="T8" s="18">
        <v>36778</v>
      </c>
      <c r="U8" s="18">
        <v>38276</v>
      </c>
      <c r="V8" s="234">
        <v>57948</v>
      </c>
      <c r="W8" s="234"/>
      <c r="X8" s="43">
        <v>40235</v>
      </c>
      <c r="Y8" s="66">
        <v>51150</v>
      </c>
      <c r="Z8" s="66">
        <v>48846</v>
      </c>
      <c r="AA8" s="66">
        <v>54396</v>
      </c>
      <c r="AB8" s="18">
        <v>44871</v>
      </c>
      <c r="AC8" s="237">
        <v>59320</v>
      </c>
      <c r="AD8" s="237"/>
      <c r="AE8" s="135">
        <v>41131</v>
      </c>
    </row>
    <row r="9" spans="1:31" s="37" customFormat="1" ht="15">
      <c r="A9" s="87"/>
      <c r="B9" s="108"/>
      <c r="C9" s="117"/>
      <c r="D9" s="26"/>
      <c r="E9" s="26"/>
      <c r="F9" s="26"/>
      <c r="G9" s="19"/>
      <c r="H9" s="44"/>
      <c r="I9" s="44"/>
      <c r="J9" s="19"/>
      <c r="K9" s="19"/>
      <c r="L9" s="19"/>
      <c r="M9" s="19"/>
      <c r="N9" s="19"/>
      <c r="O9" s="46"/>
      <c r="P9" s="85"/>
      <c r="Q9" s="26"/>
      <c r="R9" s="26"/>
      <c r="S9" s="26"/>
      <c r="T9" s="19"/>
      <c r="U9" s="19"/>
      <c r="V9" s="44"/>
      <c r="W9" s="44"/>
      <c r="X9" s="26"/>
      <c r="Y9" s="69"/>
      <c r="Z9" s="69"/>
      <c r="AA9" s="26"/>
      <c r="AB9" s="19"/>
      <c r="AC9" s="44"/>
      <c r="AD9" s="44"/>
      <c r="AE9" s="129"/>
    </row>
    <row r="10" spans="1:31" s="37" customFormat="1">
      <c r="A10" s="36" t="s">
        <v>3</v>
      </c>
      <c r="B10" s="99">
        <f t="shared" ref="B10:G10" si="2">+B6+B8</f>
        <v>39829</v>
      </c>
      <c r="C10" s="131">
        <f t="shared" si="2"/>
        <v>142905</v>
      </c>
      <c r="D10" s="21">
        <f t="shared" si="2"/>
        <v>156453</v>
      </c>
      <c r="E10" s="21">
        <f t="shared" si="2"/>
        <v>186011</v>
      </c>
      <c r="F10" s="21">
        <f t="shared" si="2"/>
        <v>173343</v>
      </c>
      <c r="G10" s="21">
        <f t="shared" si="2"/>
        <v>172930</v>
      </c>
      <c r="H10" s="244">
        <f t="shared" ref="H10:AC10" si="3">+H6+H8</f>
        <v>62019</v>
      </c>
      <c r="I10" s="244"/>
      <c r="J10" s="21">
        <f>+J6+J8</f>
        <v>200465</v>
      </c>
      <c r="K10" s="21">
        <f t="shared" si="3"/>
        <v>195412</v>
      </c>
      <c r="L10" s="21">
        <f t="shared" si="3"/>
        <v>177570</v>
      </c>
      <c r="M10" s="21">
        <f t="shared" si="3"/>
        <v>157977</v>
      </c>
      <c r="N10" s="21">
        <f t="shared" si="3"/>
        <v>168617</v>
      </c>
      <c r="O10" s="239">
        <f t="shared" si="3"/>
        <v>62123</v>
      </c>
      <c r="P10" s="239"/>
      <c r="Q10" s="21">
        <f t="shared" si="3"/>
        <v>197251</v>
      </c>
      <c r="R10" s="21">
        <f t="shared" si="3"/>
        <v>184471</v>
      </c>
      <c r="S10" s="21">
        <f t="shared" si="3"/>
        <v>162192</v>
      </c>
      <c r="T10" s="21">
        <f t="shared" si="3"/>
        <v>139139</v>
      </c>
      <c r="U10" s="21">
        <f t="shared" si="3"/>
        <v>170325</v>
      </c>
      <c r="V10" s="244">
        <f t="shared" si="3"/>
        <v>57948</v>
      </c>
      <c r="W10" s="244"/>
      <c r="X10" s="45">
        <f>+X6+X8</f>
        <v>183379</v>
      </c>
      <c r="Y10" s="21">
        <f t="shared" si="3"/>
        <v>157674</v>
      </c>
      <c r="Z10" s="21">
        <f t="shared" si="3"/>
        <v>173657</v>
      </c>
      <c r="AA10" s="21">
        <f>+AA6+AA8</f>
        <v>175606</v>
      </c>
      <c r="AB10" s="21">
        <f t="shared" si="3"/>
        <v>187249</v>
      </c>
      <c r="AC10" s="244">
        <f t="shared" si="3"/>
        <v>59320</v>
      </c>
      <c r="AD10" s="244"/>
      <c r="AE10" s="132">
        <f>+AE6+AE8</f>
        <v>172721</v>
      </c>
    </row>
    <row r="11" spans="1:31" s="37" customFormat="1" ht="13.5" thickBot="1">
      <c r="A11" s="107"/>
      <c r="B11" s="78"/>
      <c r="C11" s="76"/>
      <c r="D11" s="79"/>
      <c r="E11" s="79"/>
      <c r="F11" s="79"/>
      <c r="G11" s="74"/>
      <c r="H11" s="75"/>
      <c r="I11" s="75"/>
      <c r="J11" s="74"/>
      <c r="K11" s="74"/>
      <c r="L11" s="74"/>
      <c r="M11" s="74"/>
      <c r="N11" s="74"/>
      <c r="O11" s="78"/>
      <c r="P11" s="78"/>
      <c r="Q11" s="79"/>
      <c r="R11" s="79"/>
      <c r="S11" s="79"/>
      <c r="T11" s="74"/>
      <c r="U11" s="74"/>
      <c r="V11" s="75"/>
      <c r="W11" s="75"/>
      <c r="X11" s="79"/>
      <c r="Y11" s="76"/>
      <c r="Z11" s="76"/>
      <c r="AA11" s="74"/>
      <c r="AB11" s="74"/>
      <c r="AC11" s="75"/>
      <c r="AD11" s="75"/>
      <c r="AE11" s="130"/>
    </row>
    <row r="13" spans="1:31">
      <c r="AC13" s="23"/>
    </row>
    <row r="14" spans="1:31">
      <c r="W14" s="23"/>
    </row>
    <row r="15" spans="1:31" s="133" customFormat="1" ht="10.5">
      <c r="C15" s="134"/>
      <c r="D15" s="134"/>
      <c r="E15" s="134"/>
      <c r="F15" s="134"/>
      <c r="G15" s="134"/>
      <c r="J15" s="134"/>
      <c r="L15" s="134"/>
      <c r="R15" s="134"/>
      <c r="S15" s="134"/>
      <c r="T15" s="134"/>
      <c r="U15" s="134"/>
      <c r="V15" s="134"/>
    </row>
    <row r="16" spans="1:31">
      <c r="K16" s="34"/>
    </row>
    <row r="20" spans="15:15">
      <c r="O20" s="22"/>
    </row>
  </sheetData>
  <mergeCells count="11">
    <mergeCell ref="O6:P6"/>
    <mergeCell ref="V6:W6"/>
    <mergeCell ref="AC6:AD6"/>
    <mergeCell ref="O10:P10"/>
    <mergeCell ref="V10:W10"/>
    <mergeCell ref="AC10:AD10"/>
    <mergeCell ref="H10:I10"/>
    <mergeCell ref="O8:P8"/>
    <mergeCell ref="V8:W8"/>
    <mergeCell ref="AC8:AD8"/>
    <mergeCell ref="H8:I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F8" sqref="AF8"/>
    </sheetView>
  </sheetViews>
  <sheetFormatPr baseColWidth="10" defaultRowHeight="12.75"/>
  <cols>
    <col min="1" max="1" width="11.42578125" style="146"/>
    <col min="2" max="6" width="7.5703125" bestFit="1" customWidth="1"/>
    <col min="7" max="7" width="6.5703125" bestFit="1" customWidth="1"/>
    <col min="8" max="8" width="7.42578125" bestFit="1" customWidth="1"/>
    <col min="9" max="13" width="7.5703125" bestFit="1" customWidth="1"/>
    <col min="14" max="14" width="6.5703125" bestFit="1" customWidth="1"/>
    <col min="15" max="16" width="7.5703125" bestFit="1" customWidth="1"/>
    <col min="17" max="17" width="7.85546875" customWidth="1"/>
    <col min="18" max="20" width="7.5703125" bestFit="1" customWidth="1"/>
    <col min="21" max="21" width="6.5703125" bestFit="1" customWidth="1"/>
    <col min="22" max="32" width="7.5703125" bestFit="1" customWidth="1"/>
  </cols>
  <sheetData>
    <row r="1" spans="1:32">
      <c r="A1" s="137"/>
      <c r="B1" s="24">
        <v>45566</v>
      </c>
      <c r="C1" s="24">
        <f t="shared" ref="C1:Q2" si="0">+B1+1</f>
        <v>45567</v>
      </c>
      <c r="D1" s="24">
        <f t="shared" si="0"/>
        <v>45568</v>
      </c>
      <c r="E1" s="24">
        <f t="shared" si="0"/>
        <v>45569</v>
      </c>
      <c r="F1" s="24">
        <f t="shared" si="0"/>
        <v>45570</v>
      </c>
      <c r="G1" s="24">
        <f t="shared" si="0"/>
        <v>45571</v>
      </c>
      <c r="H1" s="24">
        <f t="shared" si="0"/>
        <v>45572</v>
      </c>
      <c r="I1" s="24">
        <f t="shared" si="0"/>
        <v>45573</v>
      </c>
      <c r="J1" s="24">
        <f t="shared" si="0"/>
        <v>45574</v>
      </c>
      <c r="K1" s="24">
        <f t="shared" si="0"/>
        <v>45575</v>
      </c>
      <c r="L1" s="24">
        <f t="shared" si="0"/>
        <v>45576</v>
      </c>
      <c r="M1" s="24">
        <f t="shared" si="0"/>
        <v>45577</v>
      </c>
      <c r="N1" s="24">
        <f t="shared" si="0"/>
        <v>45578</v>
      </c>
      <c r="O1" s="24">
        <f t="shared" si="0"/>
        <v>45579</v>
      </c>
      <c r="P1" s="24">
        <f t="shared" si="0"/>
        <v>45580</v>
      </c>
      <c r="Q1" s="24">
        <f t="shared" si="0"/>
        <v>45581</v>
      </c>
      <c r="R1" s="24">
        <f t="shared" ref="R1:AF2" si="1">+Q1+1</f>
        <v>45582</v>
      </c>
      <c r="S1" s="24">
        <f t="shared" si="1"/>
        <v>45583</v>
      </c>
      <c r="T1" s="24">
        <f t="shared" si="1"/>
        <v>45584</v>
      </c>
      <c r="U1" s="24">
        <f t="shared" si="1"/>
        <v>45585</v>
      </c>
      <c r="V1" s="24">
        <f t="shared" si="1"/>
        <v>45586</v>
      </c>
      <c r="W1" s="24">
        <f t="shared" si="1"/>
        <v>45587</v>
      </c>
      <c r="X1" s="24">
        <f t="shared" si="1"/>
        <v>45588</v>
      </c>
      <c r="Y1" s="88">
        <f t="shared" si="1"/>
        <v>45589</v>
      </c>
      <c r="Z1" s="88">
        <f t="shared" si="1"/>
        <v>45590</v>
      </c>
      <c r="AA1" s="88">
        <f t="shared" si="1"/>
        <v>45591</v>
      </c>
      <c r="AB1" s="88">
        <f t="shared" si="1"/>
        <v>45592</v>
      </c>
      <c r="AC1" s="88">
        <f t="shared" si="1"/>
        <v>45593</v>
      </c>
      <c r="AD1" s="88">
        <f t="shared" si="1"/>
        <v>45594</v>
      </c>
      <c r="AE1" s="88">
        <f t="shared" si="1"/>
        <v>45595</v>
      </c>
      <c r="AF1" s="88">
        <f t="shared" si="1"/>
        <v>45596</v>
      </c>
    </row>
    <row r="2" spans="1:32">
      <c r="A2" s="138"/>
      <c r="B2" s="5">
        <v>45566</v>
      </c>
      <c r="C2" s="5">
        <f t="shared" si="0"/>
        <v>45567</v>
      </c>
      <c r="D2" s="5">
        <f t="shared" si="0"/>
        <v>45568</v>
      </c>
      <c r="E2" s="5">
        <f t="shared" si="0"/>
        <v>45569</v>
      </c>
      <c r="F2" s="5">
        <f t="shared" si="0"/>
        <v>45570</v>
      </c>
      <c r="G2" s="5">
        <f t="shared" si="0"/>
        <v>45571</v>
      </c>
      <c r="H2" s="5">
        <f t="shared" si="0"/>
        <v>45572</v>
      </c>
      <c r="I2" s="5">
        <f t="shared" si="0"/>
        <v>45573</v>
      </c>
      <c r="J2" s="5">
        <f t="shared" si="0"/>
        <v>45574</v>
      </c>
      <c r="K2" s="5">
        <f t="shared" si="0"/>
        <v>45575</v>
      </c>
      <c r="L2" s="5">
        <f t="shared" si="0"/>
        <v>45576</v>
      </c>
      <c r="M2" s="5">
        <f t="shared" si="0"/>
        <v>45577</v>
      </c>
      <c r="N2" s="5">
        <f t="shared" si="0"/>
        <v>45578</v>
      </c>
      <c r="O2" s="5">
        <f t="shared" si="0"/>
        <v>45579</v>
      </c>
      <c r="P2" s="5">
        <f t="shared" si="0"/>
        <v>45580</v>
      </c>
      <c r="Q2" s="5">
        <f t="shared" si="0"/>
        <v>45581</v>
      </c>
      <c r="R2" s="5">
        <f t="shared" si="1"/>
        <v>45582</v>
      </c>
      <c r="S2" s="5">
        <f t="shared" si="1"/>
        <v>45583</v>
      </c>
      <c r="T2" s="5">
        <f t="shared" si="1"/>
        <v>45584</v>
      </c>
      <c r="U2" s="5">
        <f t="shared" si="1"/>
        <v>45585</v>
      </c>
      <c r="V2" s="5">
        <f t="shared" si="1"/>
        <v>45586</v>
      </c>
      <c r="W2" s="5">
        <f t="shared" si="1"/>
        <v>45587</v>
      </c>
      <c r="X2" s="5">
        <f t="shared" si="1"/>
        <v>45588</v>
      </c>
      <c r="Y2" s="89">
        <f t="shared" si="1"/>
        <v>45589</v>
      </c>
      <c r="Z2" s="89">
        <f t="shared" si="1"/>
        <v>45590</v>
      </c>
      <c r="AA2" s="89">
        <f t="shared" si="1"/>
        <v>45591</v>
      </c>
      <c r="AB2" s="89">
        <f t="shared" si="1"/>
        <v>45592</v>
      </c>
      <c r="AC2" s="89">
        <f t="shared" si="1"/>
        <v>45593</v>
      </c>
      <c r="AD2" s="89">
        <f t="shared" si="1"/>
        <v>45594</v>
      </c>
      <c r="AE2" s="89">
        <f t="shared" si="1"/>
        <v>45595</v>
      </c>
      <c r="AF2" s="89">
        <f t="shared" si="1"/>
        <v>45596</v>
      </c>
    </row>
    <row r="3" spans="1:32" ht="13.5" thickBot="1">
      <c r="A3" s="139"/>
      <c r="B3" s="7"/>
      <c r="C3" s="7"/>
      <c r="D3" s="7"/>
      <c r="E3" s="7"/>
      <c r="F3" s="16"/>
      <c r="G3" s="16"/>
      <c r="H3" s="42"/>
      <c r="I3" s="42"/>
      <c r="J3" s="7"/>
      <c r="K3" s="7"/>
      <c r="L3" s="7"/>
      <c r="M3" s="16"/>
      <c r="N3" s="16"/>
      <c r="O3" s="7"/>
      <c r="P3" s="7"/>
      <c r="Q3" s="7"/>
      <c r="R3" s="7"/>
      <c r="S3" s="7"/>
      <c r="T3" s="16"/>
      <c r="U3" s="16"/>
      <c r="V3" s="7"/>
      <c r="W3" s="7"/>
      <c r="X3" s="7"/>
      <c r="Y3" s="7"/>
      <c r="Z3" s="92"/>
      <c r="AA3" s="16"/>
      <c r="AB3" s="16"/>
      <c r="AC3" s="92"/>
      <c r="AD3" s="92"/>
      <c r="AE3" s="92"/>
      <c r="AF3" s="92"/>
    </row>
    <row r="4" spans="1:32" ht="15">
      <c r="A4" s="140" t="s">
        <v>0</v>
      </c>
      <c r="B4" s="1"/>
      <c r="C4" s="1"/>
      <c r="D4" s="1"/>
      <c r="E4" s="1"/>
      <c r="F4" s="55"/>
      <c r="G4" s="41"/>
      <c r="H4" s="25"/>
      <c r="I4" s="25"/>
      <c r="J4" s="1"/>
      <c r="K4" s="1"/>
      <c r="L4" s="1"/>
      <c r="M4" s="14"/>
      <c r="N4" s="41"/>
      <c r="O4" s="30"/>
      <c r="P4" s="30"/>
      <c r="Q4" s="1"/>
      <c r="R4" s="1"/>
      <c r="S4" s="30"/>
      <c r="T4" s="14"/>
      <c r="U4" s="41"/>
      <c r="V4" s="1"/>
      <c r="W4" s="1"/>
      <c r="X4" s="30"/>
      <c r="Y4" s="30"/>
      <c r="Z4" s="30"/>
      <c r="AA4" s="14"/>
      <c r="AB4" s="41"/>
      <c r="AC4" s="30"/>
      <c r="AD4" s="30"/>
      <c r="AE4" s="30"/>
      <c r="AF4" s="30"/>
    </row>
    <row r="5" spans="1:32" ht="15">
      <c r="A5" s="141"/>
      <c r="B5" s="1"/>
      <c r="C5" s="1"/>
      <c r="D5" s="1"/>
      <c r="E5" s="1"/>
      <c r="F5" s="15"/>
      <c r="G5" s="14"/>
      <c r="H5" s="25"/>
      <c r="I5" s="25"/>
      <c r="J5" s="1"/>
      <c r="K5" s="1"/>
      <c r="L5" s="1"/>
      <c r="M5" s="14"/>
      <c r="N5" s="14"/>
      <c r="O5" s="28"/>
      <c r="P5" s="28"/>
      <c r="Q5" s="25"/>
      <c r="R5" s="1"/>
      <c r="S5" s="28"/>
      <c r="T5" s="14"/>
      <c r="U5" s="14"/>
      <c r="V5" s="1"/>
      <c r="W5" s="1"/>
      <c r="X5" s="28"/>
      <c r="Y5" s="71"/>
      <c r="Z5" s="71"/>
      <c r="AA5" s="14"/>
      <c r="AB5" s="14"/>
      <c r="AC5" s="71"/>
      <c r="AD5" s="71"/>
      <c r="AE5" s="71"/>
      <c r="AF5" s="71"/>
    </row>
    <row r="6" spans="1:32" s="37" customFormat="1" ht="15" customHeight="1">
      <c r="A6" s="142" t="s">
        <v>1</v>
      </c>
      <c r="B6" s="18">
        <v>113023</v>
      </c>
      <c r="C6" s="18">
        <v>115484</v>
      </c>
      <c r="D6" s="18">
        <v>125636</v>
      </c>
      <c r="E6" s="18">
        <v>155339</v>
      </c>
      <c r="F6" s="237">
        <v>0</v>
      </c>
      <c r="G6" s="237"/>
      <c r="H6" s="66">
        <v>207138</v>
      </c>
      <c r="I6" s="66">
        <v>157645</v>
      </c>
      <c r="J6" s="18">
        <v>148358</v>
      </c>
      <c r="K6" s="18">
        <v>112474</v>
      </c>
      <c r="L6" s="18">
        <v>118008</v>
      </c>
      <c r="M6" s="237">
        <v>0</v>
      </c>
      <c r="N6" s="237"/>
      <c r="O6" s="66">
        <v>104568</v>
      </c>
      <c r="P6" s="66">
        <v>91231</v>
      </c>
      <c r="Q6" s="66">
        <v>147336</v>
      </c>
      <c r="R6" s="66">
        <v>130219</v>
      </c>
      <c r="S6" s="66">
        <v>141978</v>
      </c>
      <c r="T6" s="237">
        <v>0</v>
      </c>
      <c r="U6" s="237"/>
      <c r="V6" s="18">
        <v>168326</v>
      </c>
      <c r="W6" s="18">
        <v>134996</v>
      </c>
      <c r="X6" s="66">
        <v>174859</v>
      </c>
      <c r="Y6" s="136">
        <v>145256</v>
      </c>
      <c r="Z6" s="136">
        <v>134282</v>
      </c>
      <c r="AA6" s="237">
        <v>0</v>
      </c>
      <c r="AB6" s="237"/>
      <c r="AC6" s="136">
        <v>157077</v>
      </c>
      <c r="AD6" s="136">
        <v>117594</v>
      </c>
      <c r="AE6" s="136">
        <v>115936</v>
      </c>
      <c r="AF6" s="136">
        <v>90119</v>
      </c>
    </row>
    <row r="7" spans="1:32" s="37" customFormat="1" ht="15">
      <c r="A7" s="143"/>
      <c r="B7" s="19"/>
      <c r="C7" s="19"/>
      <c r="D7" s="19"/>
      <c r="E7" s="19"/>
      <c r="F7" s="46"/>
      <c r="G7" s="44"/>
      <c r="H7" s="26"/>
      <c r="I7" s="26"/>
      <c r="J7" s="19"/>
      <c r="K7" s="19"/>
      <c r="L7" s="19"/>
      <c r="M7" s="44"/>
      <c r="N7" s="44"/>
      <c r="O7" s="69"/>
      <c r="P7" s="69"/>
      <c r="Q7" s="26"/>
      <c r="R7" s="19"/>
      <c r="S7" s="69"/>
      <c r="T7" s="44"/>
      <c r="U7" s="44"/>
      <c r="V7" s="19"/>
      <c r="W7" s="19"/>
      <c r="X7" s="69"/>
      <c r="Y7" s="117"/>
      <c r="Z7" s="117"/>
      <c r="AA7" s="44"/>
      <c r="AB7" s="44"/>
      <c r="AC7" s="117"/>
      <c r="AD7" s="117"/>
      <c r="AE7" s="117"/>
      <c r="AF7" s="117"/>
    </row>
    <row r="8" spans="1:32" s="37" customFormat="1" ht="15" customHeight="1">
      <c r="A8" s="143" t="s">
        <v>2</v>
      </c>
      <c r="B8" s="18">
        <v>30706</v>
      </c>
      <c r="C8" s="18">
        <v>28046</v>
      </c>
      <c r="D8" s="18">
        <v>31096</v>
      </c>
      <c r="E8" s="18">
        <v>33711</v>
      </c>
      <c r="F8" s="237">
        <v>68212</v>
      </c>
      <c r="G8" s="237"/>
      <c r="H8" s="66">
        <v>52208</v>
      </c>
      <c r="I8" s="66">
        <v>100213</v>
      </c>
      <c r="J8" s="18">
        <v>92183</v>
      </c>
      <c r="K8" s="18">
        <v>79217</v>
      </c>
      <c r="L8" s="18">
        <v>49027</v>
      </c>
      <c r="M8" s="234">
        <v>61363</v>
      </c>
      <c r="N8" s="234"/>
      <c r="O8" s="66">
        <v>42152</v>
      </c>
      <c r="P8" s="66">
        <v>25234</v>
      </c>
      <c r="Q8" s="66">
        <v>24071</v>
      </c>
      <c r="R8" s="18">
        <v>40412</v>
      </c>
      <c r="S8" s="66">
        <v>41674</v>
      </c>
      <c r="T8" s="237">
        <v>61899</v>
      </c>
      <c r="U8" s="237"/>
      <c r="V8" s="66">
        <v>46346</v>
      </c>
      <c r="W8" s="66">
        <v>67468</v>
      </c>
      <c r="X8" s="66">
        <v>62959</v>
      </c>
      <c r="Y8" s="136">
        <v>86642</v>
      </c>
      <c r="Z8" s="136">
        <v>82068</v>
      </c>
      <c r="AA8" s="237">
        <v>56563</v>
      </c>
      <c r="AB8" s="237"/>
      <c r="AC8" s="136">
        <v>30904</v>
      </c>
      <c r="AD8" s="136">
        <v>36512</v>
      </c>
      <c r="AE8" s="136">
        <v>31196</v>
      </c>
      <c r="AF8" s="136">
        <v>80503</v>
      </c>
    </row>
    <row r="9" spans="1:32" ht="15">
      <c r="A9" s="144"/>
      <c r="B9" s="31"/>
      <c r="C9" s="31"/>
      <c r="D9" s="31"/>
      <c r="E9" s="31"/>
      <c r="F9" s="15"/>
      <c r="G9" s="14"/>
      <c r="H9" s="32"/>
      <c r="I9" s="32"/>
      <c r="J9" s="31"/>
      <c r="K9" s="31"/>
      <c r="L9" s="31"/>
      <c r="M9" s="35"/>
      <c r="N9" s="14"/>
      <c r="O9" s="28"/>
      <c r="P9" s="28"/>
      <c r="Q9" s="32"/>
      <c r="R9" s="31"/>
      <c r="S9" s="28"/>
      <c r="T9" s="35"/>
      <c r="U9" s="14"/>
      <c r="V9" s="31"/>
      <c r="W9" s="31"/>
      <c r="X9" s="28"/>
      <c r="Y9" s="71"/>
      <c r="Z9" s="71"/>
      <c r="AA9" s="35"/>
      <c r="AB9" s="14"/>
      <c r="AC9" s="71"/>
      <c r="AD9" s="71"/>
      <c r="AE9" s="71"/>
      <c r="AF9" s="71"/>
    </row>
    <row r="10" spans="1:32" s="37" customFormat="1">
      <c r="A10" s="142" t="s">
        <v>3</v>
      </c>
      <c r="B10" s="21">
        <f t="shared" ref="B10:AE10" si="2">+B6+B8</f>
        <v>143729</v>
      </c>
      <c r="C10" s="21">
        <f t="shared" si="2"/>
        <v>143530</v>
      </c>
      <c r="D10" s="21">
        <f t="shared" si="2"/>
        <v>156732</v>
      </c>
      <c r="E10" s="21">
        <f t="shared" si="2"/>
        <v>189050</v>
      </c>
      <c r="F10" s="239">
        <f t="shared" si="2"/>
        <v>68212</v>
      </c>
      <c r="G10" s="239"/>
      <c r="H10" s="21">
        <f t="shared" si="2"/>
        <v>259346</v>
      </c>
      <c r="I10" s="21">
        <f t="shared" si="2"/>
        <v>257858</v>
      </c>
      <c r="J10" s="21">
        <f t="shared" si="2"/>
        <v>240541</v>
      </c>
      <c r="K10" s="21">
        <f t="shared" si="2"/>
        <v>191691</v>
      </c>
      <c r="L10" s="21">
        <f t="shared" si="2"/>
        <v>167035</v>
      </c>
      <c r="M10" s="244">
        <f t="shared" si="2"/>
        <v>61363</v>
      </c>
      <c r="N10" s="244"/>
      <c r="O10" s="21">
        <f t="shared" si="2"/>
        <v>146720</v>
      </c>
      <c r="P10" s="21">
        <f t="shared" si="2"/>
        <v>116465</v>
      </c>
      <c r="Q10" s="21">
        <f t="shared" si="2"/>
        <v>171407</v>
      </c>
      <c r="R10" s="21">
        <f t="shared" si="2"/>
        <v>170631</v>
      </c>
      <c r="S10" s="21">
        <f t="shared" si="2"/>
        <v>183652</v>
      </c>
      <c r="T10" s="244">
        <f t="shared" si="2"/>
        <v>61899</v>
      </c>
      <c r="U10" s="244"/>
      <c r="V10" s="21">
        <f t="shared" si="2"/>
        <v>214672</v>
      </c>
      <c r="W10" s="21">
        <f t="shared" si="2"/>
        <v>202464</v>
      </c>
      <c r="X10" s="21">
        <f t="shared" si="2"/>
        <v>237818</v>
      </c>
      <c r="Y10" s="91">
        <f t="shared" si="2"/>
        <v>231898</v>
      </c>
      <c r="Z10" s="91">
        <f t="shared" si="2"/>
        <v>216350</v>
      </c>
      <c r="AA10" s="244">
        <f t="shared" si="2"/>
        <v>56563</v>
      </c>
      <c r="AB10" s="244">
        <f t="shared" si="2"/>
        <v>0</v>
      </c>
      <c r="AC10" s="91">
        <f t="shared" si="2"/>
        <v>187981</v>
      </c>
      <c r="AD10" s="91">
        <f t="shared" si="2"/>
        <v>154106</v>
      </c>
      <c r="AE10" s="91">
        <f t="shared" si="2"/>
        <v>147132</v>
      </c>
      <c r="AF10" s="91">
        <f t="shared" ref="AF10" si="3">+AF6+AF8</f>
        <v>170622</v>
      </c>
    </row>
    <row r="11" spans="1:32" ht="13.5" thickBot="1">
      <c r="A11" s="145"/>
      <c r="B11" s="7"/>
      <c r="C11" s="7"/>
      <c r="D11" s="7"/>
      <c r="E11" s="7"/>
      <c r="F11" s="17"/>
      <c r="G11" s="16"/>
      <c r="H11" s="42"/>
      <c r="I11" s="42"/>
      <c r="J11" s="7"/>
      <c r="K11" s="7"/>
      <c r="L11" s="7"/>
      <c r="M11" s="16"/>
      <c r="N11" s="16"/>
      <c r="O11" s="29"/>
      <c r="P11" s="29"/>
      <c r="Q11" s="7"/>
      <c r="R11" s="7"/>
      <c r="S11" s="29"/>
      <c r="T11" s="16"/>
      <c r="U11" s="16"/>
      <c r="V11" s="7"/>
      <c r="W11" s="7"/>
      <c r="X11" s="29"/>
      <c r="Y11" s="29"/>
      <c r="Z11" s="29"/>
      <c r="AA11" s="16"/>
      <c r="AB11" s="16"/>
      <c r="AC11" s="29"/>
      <c r="AD11" s="29"/>
      <c r="AE11" s="29"/>
      <c r="AF11" s="29"/>
    </row>
    <row r="13" spans="1:32">
      <c r="S13" s="23"/>
    </row>
    <row r="14" spans="1:32">
      <c r="M14" s="23"/>
    </row>
    <row r="15" spans="1:32">
      <c r="B15" s="34"/>
      <c r="H15" s="40"/>
      <c r="I15" s="40"/>
      <c r="J15" s="40"/>
      <c r="K15" s="40"/>
      <c r="L15" s="40"/>
    </row>
    <row r="20" spans="5:5">
      <c r="E20" s="22"/>
    </row>
  </sheetData>
  <mergeCells count="12">
    <mergeCell ref="F10:G10"/>
    <mergeCell ref="M10:N10"/>
    <mergeCell ref="T10:U10"/>
    <mergeCell ref="AA10:AB10"/>
    <mergeCell ref="F6:G6"/>
    <mergeCell ref="M6:N6"/>
    <mergeCell ref="T6:U6"/>
    <mergeCell ref="AA6:AB6"/>
    <mergeCell ref="F8:G8"/>
    <mergeCell ref="M8:N8"/>
    <mergeCell ref="T8:U8"/>
    <mergeCell ref="AA8:AB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0" sqref="H10"/>
    </sheetView>
  </sheetViews>
  <sheetFormatPr baseColWidth="10" defaultRowHeight="12.75"/>
  <cols>
    <col min="2" max="2" width="7.5703125" customWidth="1"/>
    <col min="3" max="4" width="6.7109375" bestFit="1" customWidth="1"/>
    <col min="5" max="6" width="7.5703125" bestFit="1" customWidth="1"/>
    <col min="7" max="7" width="7.5703125" customWidth="1"/>
    <col min="8" max="10" width="7.5703125" bestFit="1" customWidth="1"/>
    <col min="11" max="11" width="6.5703125" bestFit="1" customWidth="1"/>
    <col min="12" max="17" width="7.5703125" bestFit="1" customWidth="1"/>
    <col min="18" max="18" width="6.5703125" bestFit="1" customWidth="1"/>
    <col min="19" max="19" width="7.42578125" bestFit="1" customWidth="1"/>
    <col min="20" max="24" width="7.5703125" bestFit="1" customWidth="1"/>
    <col min="25" max="25" width="6.5703125" bestFit="1" customWidth="1"/>
    <col min="26" max="27" width="7.5703125" bestFit="1" customWidth="1"/>
    <col min="28" max="28" width="7.85546875" customWidth="1"/>
    <col min="29" max="31" width="7.5703125" bestFit="1" customWidth="1"/>
    <col min="32" max="32" width="6.5703125" bestFit="1" customWidth="1"/>
    <col min="33" max="34" width="7.5703125" hidden="1" customWidth="1"/>
  </cols>
  <sheetData>
    <row r="1" spans="1:34">
      <c r="A1" s="2"/>
      <c r="B1" s="24">
        <f t="shared" ref="B1:S2" si="0">+A1+1</f>
        <v>1</v>
      </c>
      <c r="C1" s="24">
        <v>45444</v>
      </c>
      <c r="D1" s="24">
        <f t="shared" si="0"/>
        <v>45445</v>
      </c>
      <c r="E1" s="24">
        <f t="shared" si="0"/>
        <v>45446</v>
      </c>
      <c r="F1" s="24">
        <f t="shared" si="0"/>
        <v>45447</v>
      </c>
      <c r="G1" s="24">
        <f t="shared" si="0"/>
        <v>45448</v>
      </c>
      <c r="H1" s="24">
        <f t="shared" si="0"/>
        <v>45449</v>
      </c>
      <c r="I1" s="24">
        <f t="shared" si="0"/>
        <v>45450</v>
      </c>
      <c r="J1" s="24">
        <f t="shared" si="0"/>
        <v>45451</v>
      </c>
      <c r="K1" s="24">
        <f t="shared" si="0"/>
        <v>45452</v>
      </c>
      <c r="L1" s="24">
        <f t="shared" si="0"/>
        <v>45453</v>
      </c>
      <c r="M1" s="24">
        <f t="shared" si="0"/>
        <v>45454</v>
      </c>
      <c r="N1" s="24">
        <f t="shared" si="0"/>
        <v>45455</v>
      </c>
      <c r="O1" s="24">
        <f t="shared" si="0"/>
        <v>45456</v>
      </c>
      <c r="P1" s="24">
        <f t="shared" si="0"/>
        <v>45457</v>
      </c>
      <c r="Q1" s="24">
        <f t="shared" si="0"/>
        <v>45458</v>
      </c>
      <c r="R1" s="24">
        <f t="shared" si="0"/>
        <v>45459</v>
      </c>
      <c r="S1" s="24">
        <f t="shared" si="0"/>
        <v>45460</v>
      </c>
      <c r="T1" s="24">
        <f t="shared" ref="S1:AH2" si="1">+S1+1</f>
        <v>45461</v>
      </c>
      <c r="U1" s="24">
        <f t="shared" si="1"/>
        <v>45462</v>
      </c>
      <c r="V1" s="24">
        <f t="shared" si="1"/>
        <v>45463</v>
      </c>
      <c r="W1" s="24">
        <f t="shared" si="1"/>
        <v>45464</v>
      </c>
      <c r="X1" s="24">
        <f t="shared" si="1"/>
        <v>45465</v>
      </c>
      <c r="Y1" s="24">
        <f t="shared" si="1"/>
        <v>45466</v>
      </c>
      <c r="Z1" s="24">
        <f t="shared" si="1"/>
        <v>45467</v>
      </c>
      <c r="AA1" s="24">
        <f t="shared" si="1"/>
        <v>45468</v>
      </c>
      <c r="AB1" s="24">
        <f t="shared" si="1"/>
        <v>45469</v>
      </c>
      <c r="AC1" s="24">
        <f t="shared" si="1"/>
        <v>45470</v>
      </c>
      <c r="AD1" s="24">
        <f t="shared" si="1"/>
        <v>45471</v>
      </c>
      <c r="AE1" s="24">
        <f t="shared" si="1"/>
        <v>45472</v>
      </c>
      <c r="AF1" s="24">
        <f t="shared" si="1"/>
        <v>45473</v>
      </c>
      <c r="AG1" s="24">
        <f t="shared" si="1"/>
        <v>45474</v>
      </c>
      <c r="AH1" s="24">
        <f t="shared" si="1"/>
        <v>45475</v>
      </c>
    </row>
    <row r="2" spans="1:34">
      <c r="A2" s="4"/>
      <c r="B2" s="5">
        <v>45597</v>
      </c>
      <c r="C2" s="5">
        <f>+B2+1</f>
        <v>45598</v>
      </c>
      <c r="D2" s="5">
        <f t="shared" si="0"/>
        <v>45599</v>
      </c>
      <c r="E2" s="5">
        <f t="shared" si="0"/>
        <v>45600</v>
      </c>
      <c r="F2" s="5">
        <f t="shared" si="0"/>
        <v>45601</v>
      </c>
      <c r="G2" s="5">
        <f t="shared" si="0"/>
        <v>45602</v>
      </c>
      <c r="H2" s="5">
        <f t="shared" si="0"/>
        <v>45603</v>
      </c>
      <c r="I2" s="5">
        <f t="shared" si="0"/>
        <v>45604</v>
      </c>
      <c r="J2" s="5">
        <f t="shared" si="0"/>
        <v>45605</v>
      </c>
      <c r="K2" s="5">
        <f t="shared" si="0"/>
        <v>45606</v>
      </c>
      <c r="L2" s="5">
        <f t="shared" si="0"/>
        <v>45607</v>
      </c>
      <c r="M2" s="5">
        <f t="shared" si="0"/>
        <v>45608</v>
      </c>
      <c r="N2" s="5">
        <f t="shared" si="0"/>
        <v>45609</v>
      </c>
      <c r="O2" s="5">
        <f t="shared" si="0"/>
        <v>45610</v>
      </c>
      <c r="P2" s="5">
        <f t="shared" si="0"/>
        <v>45611</v>
      </c>
      <c r="Q2" s="5">
        <f t="shared" si="0"/>
        <v>45612</v>
      </c>
      <c r="R2" s="5">
        <f t="shared" si="0"/>
        <v>45613</v>
      </c>
      <c r="S2" s="5">
        <f t="shared" si="1"/>
        <v>45614</v>
      </c>
      <c r="T2" s="5">
        <f t="shared" si="1"/>
        <v>45615</v>
      </c>
      <c r="U2" s="5">
        <f t="shared" si="1"/>
        <v>45616</v>
      </c>
      <c r="V2" s="5">
        <f t="shared" si="1"/>
        <v>45617</v>
      </c>
      <c r="W2" s="5">
        <f t="shared" si="1"/>
        <v>45618</v>
      </c>
      <c r="X2" s="5">
        <f t="shared" si="1"/>
        <v>45619</v>
      </c>
      <c r="Y2" s="5">
        <f t="shared" si="1"/>
        <v>45620</v>
      </c>
      <c r="Z2" s="5">
        <f t="shared" si="1"/>
        <v>45621</v>
      </c>
      <c r="AA2" s="5">
        <f t="shared" si="1"/>
        <v>45622</v>
      </c>
      <c r="AB2" s="5">
        <f t="shared" si="1"/>
        <v>45623</v>
      </c>
      <c r="AC2" s="5">
        <f t="shared" si="1"/>
        <v>45624</v>
      </c>
      <c r="AD2" s="5">
        <f t="shared" si="1"/>
        <v>45625</v>
      </c>
      <c r="AE2" s="5">
        <f t="shared" si="1"/>
        <v>45626</v>
      </c>
      <c r="AF2" s="5">
        <f t="shared" si="1"/>
        <v>45627</v>
      </c>
      <c r="AG2" s="5">
        <f t="shared" si="1"/>
        <v>45628</v>
      </c>
      <c r="AH2" s="5">
        <f t="shared" si="1"/>
        <v>45629</v>
      </c>
    </row>
    <row r="3" spans="1:34" ht="13.5" thickBot="1">
      <c r="A3" s="6"/>
      <c r="B3" s="42"/>
      <c r="C3" s="17"/>
      <c r="D3" s="17"/>
      <c r="E3" s="42"/>
      <c r="F3" s="42"/>
      <c r="G3" s="42"/>
      <c r="H3" s="7"/>
      <c r="I3" s="7"/>
      <c r="J3" s="16"/>
      <c r="K3" s="16"/>
      <c r="L3" s="7"/>
      <c r="M3" s="7"/>
      <c r="N3" s="7"/>
      <c r="O3" s="7"/>
      <c r="P3" s="7"/>
      <c r="Q3" s="16"/>
      <c r="R3" s="16"/>
      <c r="S3" s="16"/>
      <c r="T3" s="42"/>
      <c r="U3" s="7"/>
      <c r="V3" s="7"/>
      <c r="W3" s="7"/>
      <c r="X3" s="16"/>
      <c r="Y3" s="16"/>
      <c r="Z3" s="7"/>
      <c r="AA3" s="7"/>
      <c r="AB3" s="7"/>
      <c r="AC3" s="7"/>
      <c r="AD3" s="7"/>
      <c r="AE3" s="16"/>
      <c r="AF3" s="16"/>
      <c r="AG3" s="7"/>
      <c r="AH3" s="7"/>
    </row>
    <row r="4" spans="1:34" ht="15">
      <c r="A4" s="9" t="s">
        <v>0</v>
      </c>
      <c r="B4" s="25"/>
      <c r="C4" s="52"/>
      <c r="D4" s="52"/>
      <c r="E4" s="70"/>
      <c r="F4" s="25"/>
      <c r="G4" s="25"/>
      <c r="H4" s="1"/>
      <c r="I4" s="1"/>
      <c r="J4" s="14"/>
      <c r="K4" s="41"/>
      <c r="L4" s="1"/>
      <c r="M4" s="1"/>
      <c r="N4" s="1"/>
      <c r="O4" s="1"/>
      <c r="P4" s="1"/>
      <c r="Q4" s="55"/>
      <c r="R4" s="41"/>
      <c r="S4" s="14"/>
      <c r="T4" s="25"/>
      <c r="U4" s="1"/>
      <c r="V4" s="1"/>
      <c r="W4" s="1"/>
      <c r="X4" s="14"/>
      <c r="Y4" s="41"/>
      <c r="Z4" s="30"/>
      <c r="AA4" s="30"/>
      <c r="AB4" s="1"/>
      <c r="AC4" s="1"/>
      <c r="AD4" s="30"/>
      <c r="AE4" s="14"/>
      <c r="AF4" s="41"/>
      <c r="AG4" s="1"/>
      <c r="AH4" s="1"/>
    </row>
    <row r="5" spans="1:34" ht="15">
      <c r="A5" s="10"/>
      <c r="B5" s="25"/>
      <c r="C5" s="53"/>
      <c r="D5" s="54"/>
      <c r="E5" s="25"/>
      <c r="F5" s="25"/>
      <c r="G5" s="25"/>
      <c r="H5" s="1"/>
      <c r="I5" s="1"/>
      <c r="J5" s="14"/>
      <c r="K5" s="14"/>
      <c r="L5" s="1"/>
      <c r="M5" s="1"/>
      <c r="N5" s="1"/>
      <c r="O5" s="1"/>
      <c r="P5" s="1"/>
      <c r="Q5" s="15"/>
      <c r="R5" s="14"/>
      <c r="S5" s="14"/>
      <c r="T5" s="25"/>
      <c r="U5" s="1"/>
      <c r="V5" s="1"/>
      <c r="W5" s="1"/>
      <c r="X5" s="14"/>
      <c r="Y5" s="14"/>
      <c r="Z5" s="28"/>
      <c r="AA5" s="28"/>
      <c r="AB5" s="25"/>
      <c r="AC5" s="1"/>
      <c r="AD5" s="28"/>
      <c r="AE5" s="14"/>
      <c r="AF5" s="14"/>
      <c r="AG5" s="1"/>
      <c r="AH5" s="1"/>
    </row>
    <row r="6" spans="1:34" s="37" customFormat="1" ht="15" customHeight="1">
      <c r="A6" s="36" t="s">
        <v>1</v>
      </c>
      <c r="B6" s="18">
        <v>100735</v>
      </c>
      <c r="C6" s="234">
        <v>0</v>
      </c>
      <c r="D6" s="234"/>
      <c r="E6" s="43">
        <v>130003</v>
      </c>
      <c r="F6" s="43">
        <v>119969</v>
      </c>
      <c r="G6" s="18">
        <v>146514</v>
      </c>
      <c r="H6" s="18">
        <v>185327</v>
      </c>
      <c r="I6" s="18">
        <v>152492</v>
      </c>
      <c r="J6" s="234"/>
      <c r="K6" s="234"/>
      <c r="L6" s="18">
        <v>192536</v>
      </c>
      <c r="M6" s="18">
        <v>166022</v>
      </c>
      <c r="N6" s="18">
        <v>217635</v>
      </c>
      <c r="O6" s="18">
        <v>161952</v>
      </c>
      <c r="P6" s="18">
        <v>170198</v>
      </c>
      <c r="Q6" s="237">
        <v>189114</v>
      </c>
      <c r="R6" s="237"/>
      <c r="S6" s="237"/>
      <c r="T6" s="66">
        <v>143777</v>
      </c>
      <c r="U6" s="18">
        <v>183499</v>
      </c>
      <c r="V6" s="18">
        <v>142969</v>
      </c>
      <c r="W6" s="18">
        <v>163674</v>
      </c>
      <c r="X6" s="237"/>
      <c r="Y6" s="237"/>
      <c r="Z6" s="66">
        <v>196845</v>
      </c>
      <c r="AA6" s="66">
        <v>176399</v>
      </c>
      <c r="AB6" s="66">
        <v>152969</v>
      </c>
      <c r="AC6" s="66">
        <v>120589</v>
      </c>
      <c r="AD6" s="66">
        <v>174880</v>
      </c>
      <c r="AE6" s="237"/>
      <c r="AF6" s="237"/>
      <c r="AG6" s="18"/>
      <c r="AH6" s="18"/>
    </row>
    <row r="7" spans="1:34" s="83" customFormat="1" ht="15">
      <c r="A7" s="84"/>
      <c r="B7" s="81"/>
      <c r="C7" s="67"/>
      <c r="D7" s="67"/>
      <c r="E7" s="81"/>
      <c r="F7" s="81"/>
      <c r="G7" s="81"/>
      <c r="H7" s="82"/>
      <c r="I7" s="82"/>
      <c r="J7" s="68"/>
      <c r="K7" s="68"/>
      <c r="L7" s="82"/>
      <c r="M7" s="82"/>
      <c r="N7" s="82"/>
      <c r="O7" s="82"/>
      <c r="P7" s="80"/>
      <c r="Q7" s="85"/>
      <c r="R7" s="68"/>
      <c r="S7" s="68"/>
      <c r="T7" s="81"/>
      <c r="U7" s="82"/>
      <c r="V7" s="82"/>
      <c r="W7" s="82"/>
      <c r="X7" s="68"/>
      <c r="Y7" s="68"/>
      <c r="Z7" s="86"/>
      <c r="AA7" s="86"/>
      <c r="AB7" s="81"/>
      <c r="AC7" s="82"/>
      <c r="AD7" s="86"/>
      <c r="AE7" s="68"/>
      <c r="AF7" s="68"/>
      <c r="AG7" s="82"/>
      <c r="AH7" s="82"/>
    </row>
    <row r="8" spans="1:34" s="37" customFormat="1" ht="15" customHeight="1">
      <c r="A8" s="87" t="s">
        <v>2</v>
      </c>
      <c r="B8" s="18">
        <v>35866</v>
      </c>
      <c r="C8" s="234">
        <v>38539</v>
      </c>
      <c r="D8" s="234"/>
      <c r="E8" s="43">
        <v>32523</v>
      </c>
      <c r="F8" s="43">
        <v>34703</v>
      </c>
      <c r="G8" s="18">
        <v>29082</v>
      </c>
      <c r="H8" s="18">
        <v>35874</v>
      </c>
      <c r="I8" s="18">
        <v>63116</v>
      </c>
      <c r="J8" s="234">
        <v>52469</v>
      </c>
      <c r="K8" s="234"/>
      <c r="L8" s="18">
        <v>33989</v>
      </c>
      <c r="M8" s="18">
        <v>67800</v>
      </c>
      <c r="N8" s="18">
        <v>78733</v>
      </c>
      <c r="O8" s="18">
        <v>122175</v>
      </c>
      <c r="P8" s="18">
        <v>119185</v>
      </c>
      <c r="Q8" s="237">
        <v>54690</v>
      </c>
      <c r="R8" s="237"/>
      <c r="S8" s="237"/>
      <c r="T8" s="66">
        <v>80368</v>
      </c>
      <c r="U8" s="18">
        <v>66494</v>
      </c>
      <c r="V8" s="18">
        <v>93677</v>
      </c>
      <c r="W8" s="18">
        <v>89654</v>
      </c>
      <c r="X8" s="234">
        <v>38380</v>
      </c>
      <c r="Y8" s="234"/>
      <c r="Z8" s="66">
        <v>30207</v>
      </c>
      <c r="AA8" s="66">
        <v>77382</v>
      </c>
      <c r="AB8" s="66">
        <v>90473</v>
      </c>
      <c r="AC8" s="18">
        <v>95817</v>
      </c>
      <c r="AD8" s="66">
        <v>77165</v>
      </c>
      <c r="AE8" s="237">
        <v>56791</v>
      </c>
      <c r="AF8" s="237"/>
      <c r="AG8" s="66"/>
      <c r="AH8" s="66"/>
    </row>
    <row r="9" spans="1:34" ht="15">
      <c r="A9" s="12"/>
      <c r="B9" s="32"/>
      <c r="C9" s="108"/>
      <c r="D9" s="108"/>
      <c r="E9" s="26"/>
      <c r="F9" s="26"/>
      <c r="G9" s="32"/>
      <c r="H9" s="31"/>
      <c r="I9" s="31"/>
      <c r="J9" s="35"/>
      <c r="K9" s="14"/>
      <c r="L9" s="31"/>
      <c r="M9" s="31"/>
      <c r="N9" s="31"/>
      <c r="O9" s="31"/>
      <c r="P9" s="31"/>
      <c r="Q9" s="15"/>
      <c r="R9" s="14"/>
      <c r="S9" s="35"/>
      <c r="T9" s="32"/>
      <c r="U9" s="31"/>
      <c r="V9" s="31"/>
      <c r="W9" s="31"/>
      <c r="X9" s="35"/>
      <c r="Y9" s="14"/>
      <c r="Z9" s="28"/>
      <c r="AA9" s="28"/>
      <c r="AB9" s="32"/>
      <c r="AC9" s="31"/>
      <c r="AD9" s="28"/>
      <c r="AE9" s="35"/>
      <c r="AF9" s="14"/>
      <c r="AG9" s="31"/>
      <c r="AH9" s="31"/>
    </row>
    <row r="10" spans="1:34" s="37" customFormat="1">
      <c r="A10" s="36" t="s">
        <v>3</v>
      </c>
      <c r="B10" s="21">
        <f>+B6+B8</f>
        <v>136601</v>
      </c>
      <c r="C10" s="242">
        <f>+C6+C8</f>
        <v>38539</v>
      </c>
      <c r="D10" s="242"/>
      <c r="E10" s="21">
        <f>+E6+E8</f>
        <v>162526</v>
      </c>
      <c r="F10" s="21">
        <f>+F6+F8</f>
        <v>154672</v>
      </c>
      <c r="G10" s="21">
        <f>+G6+G8</f>
        <v>175596</v>
      </c>
      <c r="H10" s="21">
        <f>+H6+H8</f>
        <v>221201</v>
      </c>
      <c r="I10" s="21">
        <f t="shared" ref="I10:AH10" si="2">+I6+I8</f>
        <v>215608</v>
      </c>
      <c r="J10" s="244">
        <f>+J6+J8</f>
        <v>52469</v>
      </c>
      <c r="K10" s="244"/>
      <c r="L10" s="21">
        <f t="shared" si="2"/>
        <v>226525</v>
      </c>
      <c r="M10" s="21">
        <f t="shared" si="2"/>
        <v>233822</v>
      </c>
      <c r="N10" s="21">
        <f t="shared" si="2"/>
        <v>296368</v>
      </c>
      <c r="O10" s="21">
        <f t="shared" si="2"/>
        <v>284127</v>
      </c>
      <c r="P10" s="21">
        <f t="shared" si="2"/>
        <v>289383</v>
      </c>
      <c r="Q10" s="244">
        <f>+Q6+Q8</f>
        <v>243804</v>
      </c>
      <c r="R10" s="244"/>
      <c r="S10" s="244"/>
      <c r="T10" s="21">
        <f t="shared" si="2"/>
        <v>224145</v>
      </c>
      <c r="U10" s="21">
        <f t="shared" si="2"/>
        <v>249993</v>
      </c>
      <c r="V10" s="21">
        <f t="shared" si="2"/>
        <v>236646</v>
      </c>
      <c r="W10" s="21">
        <f t="shared" si="2"/>
        <v>253328</v>
      </c>
      <c r="X10" s="244">
        <f t="shared" si="2"/>
        <v>38380</v>
      </c>
      <c r="Y10" s="244"/>
      <c r="Z10" s="21">
        <f t="shared" si="2"/>
        <v>227052</v>
      </c>
      <c r="AA10" s="21">
        <f t="shared" si="2"/>
        <v>253781</v>
      </c>
      <c r="AB10" s="21">
        <f>+AB6+AB8</f>
        <v>243442</v>
      </c>
      <c r="AC10" s="21">
        <f t="shared" si="2"/>
        <v>216406</v>
      </c>
      <c r="AD10" s="21">
        <f t="shared" si="2"/>
        <v>252045</v>
      </c>
      <c r="AE10" s="244">
        <f t="shared" si="2"/>
        <v>56791</v>
      </c>
      <c r="AF10" s="244"/>
      <c r="AG10" s="21">
        <f t="shared" si="2"/>
        <v>0</v>
      </c>
      <c r="AH10" s="21">
        <f t="shared" si="2"/>
        <v>0</v>
      </c>
    </row>
    <row r="11" spans="1:34" ht="13.5" thickBot="1">
      <c r="A11" s="13"/>
      <c r="B11" s="42"/>
      <c r="C11" s="78"/>
      <c r="D11" s="78"/>
      <c r="E11" s="79"/>
      <c r="F11" s="79"/>
      <c r="G11" s="42"/>
      <c r="H11" s="7"/>
      <c r="I11" s="7"/>
      <c r="J11" s="16"/>
      <c r="K11" s="16"/>
      <c r="L11" s="7"/>
      <c r="M11" s="7"/>
      <c r="N11" s="7"/>
      <c r="O11" s="7"/>
      <c r="P11" s="7"/>
      <c r="Q11" s="17"/>
      <c r="R11" s="16"/>
      <c r="S11" s="16"/>
      <c r="T11" s="42"/>
      <c r="U11" s="7"/>
      <c r="V11" s="7"/>
      <c r="W11" s="7"/>
      <c r="X11" s="16"/>
      <c r="Y11" s="16"/>
      <c r="Z11" s="29"/>
      <c r="AA11" s="29"/>
      <c r="AB11" s="7"/>
      <c r="AC11" s="7"/>
      <c r="AD11" s="29"/>
      <c r="AE11" s="16"/>
      <c r="AF11" s="16"/>
      <c r="AG11" s="7"/>
      <c r="AH11" s="7"/>
    </row>
    <row r="13" spans="1:34">
      <c r="E13" s="34"/>
      <c r="F13" s="34"/>
      <c r="G13" s="34"/>
      <c r="H13" s="34"/>
      <c r="I13" s="34"/>
      <c r="L13" s="34"/>
      <c r="M13" s="34"/>
      <c r="N13" s="34"/>
      <c r="O13" s="34"/>
      <c r="AD13" s="23"/>
    </row>
    <row r="14" spans="1:34">
      <c r="X14" s="23"/>
    </row>
    <row r="15" spans="1:34">
      <c r="M15" s="34"/>
      <c r="S15" s="40"/>
      <c r="T15" s="40"/>
      <c r="U15" s="40"/>
      <c r="V15" s="40"/>
      <c r="W15" s="40"/>
    </row>
    <row r="16" spans="1:34">
      <c r="L16" s="34"/>
    </row>
    <row r="20" spans="16:16">
      <c r="P20" s="22"/>
    </row>
  </sheetData>
  <mergeCells count="15">
    <mergeCell ref="C10:D10"/>
    <mergeCell ref="J10:K10"/>
    <mergeCell ref="X10:Y10"/>
    <mergeCell ref="AE10:AF10"/>
    <mergeCell ref="Q10:S10"/>
    <mergeCell ref="C6:D6"/>
    <mergeCell ref="J6:K6"/>
    <mergeCell ref="X6:Y6"/>
    <mergeCell ref="AE6:AF6"/>
    <mergeCell ref="Q6:S6"/>
    <mergeCell ref="C8:D8"/>
    <mergeCell ref="J8:K8"/>
    <mergeCell ref="X8:Y8"/>
    <mergeCell ref="AE8:AF8"/>
    <mergeCell ref="Q8:S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F6" sqref="AF6"/>
    </sheetView>
  </sheetViews>
  <sheetFormatPr baseColWidth="10" defaultRowHeight="12.75"/>
  <cols>
    <col min="2" max="3" width="6.7109375" bestFit="1" customWidth="1"/>
    <col min="4" max="4" width="8" customWidth="1"/>
    <col min="5" max="5" width="7.5703125" bestFit="1" customWidth="1"/>
    <col min="6" max="6" width="7.5703125" customWidth="1"/>
    <col min="7" max="9" width="7.5703125" bestFit="1" customWidth="1"/>
    <col min="10" max="10" width="7.42578125" bestFit="1" customWidth="1"/>
    <col min="11" max="16" width="7.5703125" bestFit="1" customWidth="1"/>
    <col min="17" max="17" width="6.5703125" bestFit="1" customWidth="1"/>
    <col min="18" max="18" width="7.42578125" bestFit="1" customWidth="1"/>
    <col min="19" max="23" width="7.5703125" bestFit="1" customWidth="1"/>
    <col min="24" max="24" width="6.5703125" bestFit="1" customWidth="1"/>
    <col min="25" max="26" width="7.5703125" bestFit="1" customWidth="1"/>
    <col min="27" max="27" width="7.85546875" customWidth="1"/>
    <col min="28" max="28" width="7.5703125" bestFit="1" customWidth="1"/>
    <col min="29" max="30" width="7.42578125" customWidth="1"/>
    <col min="31" max="32" width="8.140625" customWidth="1"/>
  </cols>
  <sheetData>
    <row r="1" spans="1:32">
      <c r="A1" s="2"/>
      <c r="B1" s="24">
        <v>45536</v>
      </c>
      <c r="C1" s="24">
        <f t="shared" ref="C1:R2" si="0">+B1+1</f>
        <v>45537</v>
      </c>
      <c r="D1" s="24">
        <f t="shared" si="0"/>
        <v>45538</v>
      </c>
      <c r="E1" s="24">
        <f t="shared" si="0"/>
        <v>45539</v>
      </c>
      <c r="F1" s="24">
        <f t="shared" si="0"/>
        <v>45540</v>
      </c>
      <c r="G1" s="24">
        <f t="shared" si="0"/>
        <v>45541</v>
      </c>
      <c r="H1" s="24">
        <f t="shared" si="0"/>
        <v>45542</v>
      </c>
      <c r="I1" s="24">
        <f t="shared" si="0"/>
        <v>45543</v>
      </c>
      <c r="J1" s="24">
        <f t="shared" si="0"/>
        <v>45544</v>
      </c>
      <c r="K1" s="24">
        <f t="shared" si="0"/>
        <v>45545</v>
      </c>
      <c r="L1" s="24">
        <f t="shared" si="0"/>
        <v>45546</v>
      </c>
      <c r="M1" s="24">
        <f t="shared" si="0"/>
        <v>45547</v>
      </c>
      <c r="N1" s="24">
        <f t="shared" si="0"/>
        <v>45548</v>
      </c>
      <c r="O1" s="24">
        <f t="shared" si="0"/>
        <v>45549</v>
      </c>
      <c r="P1" s="24">
        <f t="shared" si="0"/>
        <v>45550</v>
      </c>
      <c r="Q1" s="24">
        <f t="shared" si="0"/>
        <v>45551</v>
      </c>
      <c r="R1" s="24">
        <f t="shared" si="0"/>
        <v>45552</v>
      </c>
      <c r="S1" s="24">
        <f t="shared" ref="R1:AF2" si="1">+R1+1</f>
        <v>45553</v>
      </c>
      <c r="T1" s="24">
        <f t="shared" si="1"/>
        <v>45554</v>
      </c>
      <c r="U1" s="24">
        <f t="shared" si="1"/>
        <v>45555</v>
      </c>
      <c r="V1" s="24">
        <f t="shared" si="1"/>
        <v>45556</v>
      </c>
      <c r="W1" s="24">
        <f t="shared" si="1"/>
        <v>45557</v>
      </c>
      <c r="X1" s="24">
        <f t="shared" si="1"/>
        <v>45558</v>
      </c>
      <c r="Y1" s="24">
        <f t="shared" si="1"/>
        <v>45559</v>
      </c>
      <c r="Z1" s="24">
        <f t="shared" si="1"/>
        <v>45560</v>
      </c>
      <c r="AA1" s="24">
        <f t="shared" si="1"/>
        <v>45561</v>
      </c>
      <c r="AB1" s="24">
        <f t="shared" si="1"/>
        <v>45562</v>
      </c>
      <c r="AC1" s="24">
        <f t="shared" si="1"/>
        <v>45563</v>
      </c>
      <c r="AD1" s="24">
        <f t="shared" si="1"/>
        <v>45564</v>
      </c>
      <c r="AE1" s="24">
        <f t="shared" si="1"/>
        <v>45565</v>
      </c>
      <c r="AF1" s="24">
        <f t="shared" si="1"/>
        <v>45566</v>
      </c>
    </row>
    <row r="2" spans="1:32">
      <c r="A2" s="4"/>
      <c r="B2" s="5">
        <v>45627</v>
      </c>
      <c r="C2" s="5">
        <f t="shared" si="0"/>
        <v>45628</v>
      </c>
      <c r="D2" s="5">
        <f t="shared" si="0"/>
        <v>45629</v>
      </c>
      <c r="E2" s="5">
        <f t="shared" si="0"/>
        <v>45630</v>
      </c>
      <c r="F2" s="5">
        <f t="shared" si="0"/>
        <v>45631</v>
      </c>
      <c r="G2" s="5">
        <f t="shared" si="0"/>
        <v>45632</v>
      </c>
      <c r="H2" s="5">
        <f t="shared" si="0"/>
        <v>45633</v>
      </c>
      <c r="I2" s="5">
        <f t="shared" si="0"/>
        <v>45634</v>
      </c>
      <c r="J2" s="5">
        <f t="shared" si="0"/>
        <v>45635</v>
      </c>
      <c r="K2" s="5">
        <f t="shared" si="0"/>
        <v>45636</v>
      </c>
      <c r="L2" s="5">
        <f t="shared" si="0"/>
        <v>45637</v>
      </c>
      <c r="M2" s="5">
        <f t="shared" si="0"/>
        <v>45638</v>
      </c>
      <c r="N2" s="5">
        <f t="shared" si="0"/>
        <v>45639</v>
      </c>
      <c r="O2" s="5">
        <f t="shared" si="0"/>
        <v>45640</v>
      </c>
      <c r="P2" s="5">
        <f t="shared" si="0"/>
        <v>45641</v>
      </c>
      <c r="Q2" s="5">
        <f t="shared" si="0"/>
        <v>45642</v>
      </c>
      <c r="R2" s="5">
        <f t="shared" si="1"/>
        <v>45643</v>
      </c>
      <c r="S2" s="5">
        <f t="shared" si="1"/>
        <v>45644</v>
      </c>
      <c r="T2" s="5">
        <f t="shared" si="1"/>
        <v>45645</v>
      </c>
      <c r="U2" s="5">
        <f t="shared" si="1"/>
        <v>45646</v>
      </c>
      <c r="V2" s="5">
        <f t="shared" si="1"/>
        <v>45647</v>
      </c>
      <c r="W2" s="5">
        <f t="shared" si="1"/>
        <v>45648</v>
      </c>
      <c r="X2" s="5">
        <f t="shared" si="1"/>
        <v>45649</v>
      </c>
      <c r="Y2" s="5">
        <f t="shared" si="1"/>
        <v>45650</v>
      </c>
      <c r="Z2" s="5">
        <f t="shared" si="1"/>
        <v>45651</v>
      </c>
      <c r="AA2" s="5">
        <f t="shared" si="1"/>
        <v>45652</v>
      </c>
      <c r="AB2" s="5">
        <f t="shared" si="1"/>
        <v>45653</v>
      </c>
      <c r="AC2" s="5">
        <f t="shared" si="1"/>
        <v>45654</v>
      </c>
      <c r="AD2" s="5">
        <f t="shared" si="1"/>
        <v>45655</v>
      </c>
      <c r="AE2" s="5">
        <f t="shared" si="1"/>
        <v>45656</v>
      </c>
      <c r="AF2" s="5">
        <f t="shared" si="1"/>
        <v>45657</v>
      </c>
    </row>
    <row r="3" spans="1:32" ht="13.5" thickBot="1">
      <c r="A3" s="6"/>
      <c r="B3" s="17"/>
      <c r="C3" s="115"/>
      <c r="D3" s="42"/>
      <c r="E3" s="42"/>
      <c r="F3" s="42"/>
      <c r="G3" s="7"/>
      <c r="H3" s="16"/>
      <c r="I3" s="16"/>
      <c r="J3" s="7"/>
      <c r="K3" s="7"/>
      <c r="L3" s="7"/>
      <c r="M3" s="7"/>
      <c r="N3" s="7"/>
      <c r="O3" s="16"/>
      <c r="P3" s="120"/>
      <c r="Q3" s="122"/>
      <c r="R3" s="42"/>
      <c r="S3" s="42"/>
      <c r="T3" s="7"/>
      <c r="U3" s="7"/>
      <c r="V3" s="16"/>
      <c r="W3" s="16"/>
      <c r="X3" s="42"/>
      <c r="Y3" s="7"/>
      <c r="Z3" s="7"/>
      <c r="AA3" s="7"/>
      <c r="AB3" s="7"/>
      <c r="AC3" s="16"/>
      <c r="AD3" s="16"/>
      <c r="AE3" s="42"/>
      <c r="AF3" s="149"/>
    </row>
    <row r="4" spans="1:32" s="113" customFormat="1" ht="11.25">
      <c r="A4" s="100" t="s">
        <v>0</v>
      </c>
      <c r="B4" s="101"/>
      <c r="C4" s="116"/>
      <c r="D4" s="102"/>
      <c r="E4" s="109"/>
      <c r="F4" s="109"/>
      <c r="G4" s="110"/>
      <c r="H4" s="111"/>
      <c r="I4" s="111"/>
      <c r="J4" s="110"/>
      <c r="K4" s="110"/>
      <c r="L4" s="110"/>
      <c r="M4" s="110"/>
      <c r="N4" s="110"/>
      <c r="O4" s="103"/>
      <c r="P4" s="121"/>
      <c r="Q4" s="123"/>
      <c r="R4" s="109"/>
      <c r="S4" s="109"/>
      <c r="T4" s="110"/>
      <c r="U4" s="110"/>
      <c r="V4" s="112"/>
      <c r="W4" s="111"/>
      <c r="X4" s="125"/>
      <c r="Y4" s="104"/>
      <c r="Z4" s="104"/>
      <c r="AA4" s="110"/>
      <c r="AB4" s="110"/>
      <c r="AC4" s="111"/>
      <c r="AD4" s="111"/>
      <c r="AE4" s="150"/>
      <c r="AF4" s="127"/>
    </row>
    <row r="5" spans="1:32" s="113" customFormat="1" ht="11.25">
      <c r="A5" s="105"/>
      <c r="B5" s="106"/>
      <c r="C5" s="117"/>
      <c r="D5" s="109"/>
      <c r="E5" s="109"/>
      <c r="F5" s="109"/>
      <c r="G5" s="110"/>
      <c r="H5" s="111"/>
      <c r="I5" s="111"/>
      <c r="J5" s="110"/>
      <c r="K5" s="110"/>
      <c r="L5" s="110"/>
      <c r="M5" s="110"/>
      <c r="N5" s="110"/>
      <c r="O5" s="46"/>
      <c r="P5" s="85"/>
      <c r="Q5" s="124"/>
      <c r="R5" s="109"/>
      <c r="S5" s="109"/>
      <c r="T5" s="110"/>
      <c r="U5" s="110"/>
      <c r="V5" s="111"/>
      <c r="W5" s="111"/>
      <c r="X5" s="109"/>
      <c r="Y5" s="69"/>
      <c r="Z5" s="69"/>
      <c r="AA5" s="109"/>
      <c r="AB5" s="110"/>
      <c r="AC5" s="111"/>
      <c r="AD5" s="111"/>
      <c r="AE5" s="150"/>
      <c r="AF5" s="128"/>
    </row>
    <row r="6" spans="1:32" s="113" customFormat="1" ht="15" customHeight="1">
      <c r="A6" s="36" t="s">
        <v>1</v>
      </c>
      <c r="B6" s="147"/>
      <c r="C6" s="43">
        <v>210957</v>
      </c>
      <c r="D6" s="109">
        <v>120643</v>
      </c>
      <c r="E6" s="43">
        <v>193161</v>
      </c>
      <c r="F6" s="18">
        <v>152793</v>
      </c>
      <c r="G6" s="18">
        <v>180693</v>
      </c>
      <c r="H6" s="147"/>
      <c r="I6" s="147"/>
      <c r="J6" s="18">
        <v>241460</v>
      </c>
      <c r="K6" s="18">
        <v>158094</v>
      </c>
      <c r="L6" s="18">
        <v>155468</v>
      </c>
      <c r="M6" s="18">
        <v>111019</v>
      </c>
      <c r="N6" s="18">
        <v>140336</v>
      </c>
      <c r="O6" s="237"/>
      <c r="P6" s="237"/>
      <c r="Q6" s="66">
        <v>132077</v>
      </c>
      <c r="R6" s="66">
        <v>66110</v>
      </c>
      <c r="S6" s="66">
        <v>148481</v>
      </c>
      <c r="T6" s="18">
        <v>122251</v>
      </c>
      <c r="U6" s="18">
        <v>135883</v>
      </c>
      <c r="V6" s="237"/>
      <c r="W6" s="237"/>
      <c r="X6" s="66">
        <v>183875</v>
      </c>
      <c r="Y6" s="66">
        <v>61649</v>
      </c>
      <c r="Z6" s="66"/>
      <c r="AA6" s="66">
        <v>107266</v>
      </c>
      <c r="AB6" s="66">
        <v>148627</v>
      </c>
      <c r="AC6" s="237"/>
      <c r="AD6" s="237"/>
      <c r="AE6" s="136">
        <v>186647</v>
      </c>
      <c r="AF6" s="135">
        <v>90763</v>
      </c>
    </row>
    <row r="7" spans="1:32" s="113" customFormat="1" ht="11.25">
      <c r="A7" s="87"/>
      <c r="B7" s="108"/>
      <c r="C7" s="117"/>
      <c r="D7" s="109"/>
      <c r="E7" s="109"/>
      <c r="F7" s="109"/>
      <c r="G7" s="110"/>
      <c r="H7" s="111"/>
      <c r="I7" s="111"/>
      <c r="J7" s="110"/>
      <c r="K7" s="110"/>
      <c r="L7" s="110"/>
      <c r="M7" s="110"/>
      <c r="N7" s="110"/>
      <c r="O7" s="46"/>
      <c r="P7" s="85"/>
      <c r="Q7" s="109"/>
      <c r="R7" s="109"/>
      <c r="S7" s="109"/>
      <c r="T7" s="110"/>
      <c r="U7" s="110"/>
      <c r="V7" s="111"/>
      <c r="W7" s="111"/>
      <c r="X7" s="109"/>
      <c r="Y7" s="109"/>
      <c r="Z7" s="109"/>
      <c r="AA7" s="109"/>
      <c r="AB7" s="109"/>
      <c r="AC7" s="111"/>
      <c r="AD7" s="111"/>
      <c r="AE7" s="150"/>
      <c r="AF7" s="128"/>
    </row>
    <row r="8" spans="1:32" s="113" customFormat="1" ht="15" customHeight="1">
      <c r="A8" s="87" t="s">
        <v>2</v>
      </c>
      <c r="B8" s="108">
        <v>56791</v>
      </c>
      <c r="C8" s="117">
        <v>40342</v>
      </c>
      <c r="D8" s="43">
        <v>115368</v>
      </c>
      <c r="E8" s="43">
        <v>90905</v>
      </c>
      <c r="F8" s="18">
        <v>125809</v>
      </c>
      <c r="G8" s="18">
        <v>114813</v>
      </c>
      <c r="H8" s="234">
        <v>70588</v>
      </c>
      <c r="I8" s="234"/>
      <c r="J8" s="18">
        <v>48299</v>
      </c>
      <c r="K8" s="18">
        <v>108656</v>
      </c>
      <c r="L8" s="18">
        <v>96473</v>
      </c>
      <c r="M8" s="18">
        <v>92958</v>
      </c>
      <c r="N8" s="18">
        <v>54774</v>
      </c>
      <c r="O8" s="237">
        <v>65243</v>
      </c>
      <c r="P8" s="237"/>
      <c r="Q8" s="66">
        <v>53638</v>
      </c>
      <c r="R8" s="18">
        <v>51982</v>
      </c>
      <c r="S8" s="18">
        <v>31244</v>
      </c>
      <c r="T8" s="18">
        <v>48161</v>
      </c>
      <c r="U8" s="18">
        <v>62519</v>
      </c>
      <c r="V8" s="234">
        <v>58625</v>
      </c>
      <c r="W8" s="234"/>
      <c r="X8" s="66">
        <v>40022</v>
      </c>
      <c r="Y8" s="66">
        <v>153114</v>
      </c>
      <c r="Z8" s="66">
        <v>153767</v>
      </c>
      <c r="AA8" s="66">
        <v>133550</v>
      </c>
      <c r="AB8" s="66">
        <v>75255</v>
      </c>
      <c r="AC8" s="237">
        <v>70292</v>
      </c>
      <c r="AD8" s="237"/>
      <c r="AE8" s="136">
        <v>41021</v>
      </c>
      <c r="AF8" s="135">
        <v>57458</v>
      </c>
    </row>
    <row r="9" spans="1:32" s="37" customFormat="1" ht="15">
      <c r="A9" s="87"/>
      <c r="B9" s="108"/>
      <c r="C9" s="117"/>
      <c r="D9" s="26"/>
      <c r="E9" s="26"/>
      <c r="F9" s="26"/>
      <c r="G9" s="19"/>
      <c r="H9" s="44"/>
      <c r="I9" s="44"/>
      <c r="J9" s="19"/>
      <c r="K9" s="19"/>
      <c r="L9" s="19"/>
      <c r="M9" s="19"/>
      <c r="N9" s="19"/>
      <c r="O9" s="46"/>
      <c r="P9" s="85"/>
      <c r="Q9" s="26"/>
      <c r="R9" s="26"/>
      <c r="S9" s="26"/>
      <c r="T9" s="19"/>
      <c r="U9" s="19"/>
      <c r="V9" s="44"/>
      <c r="W9" s="44"/>
      <c r="X9" s="26"/>
      <c r="Y9" s="69"/>
      <c r="Z9" s="69"/>
      <c r="AA9" s="26"/>
      <c r="AB9" s="19"/>
      <c r="AC9" s="44"/>
      <c r="AD9" s="44"/>
      <c r="AE9" s="151"/>
      <c r="AF9" s="129"/>
    </row>
    <row r="10" spans="1:32" s="37" customFormat="1">
      <c r="A10" s="36" t="s">
        <v>3</v>
      </c>
      <c r="B10" s="148">
        <f t="shared" ref="B10:AC10" si="2">+B6+B8</f>
        <v>56791</v>
      </c>
      <c r="C10" s="131">
        <f t="shared" si="2"/>
        <v>251299</v>
      </c>
      <c r="D10" s="21">
        <f t="shared" si="2"/>
        <v>236011</v>
      </c>
      <c r="E10" s="21">
        <f t="shared" si="2"/>
        <v>284066</v>
      </c>
      <c r="F10" s="21">
        <f t="shared" si="2"/>
        <v>278602</v>
      </c>
      <c r="G10" s="21">
        <f t="shared" si="2"/>
        <v>295506</v>
      </c>
      <c r="H10" s="244">
        <f t="shared" si="2"/>
        <v>70588</v>
      </c>
      <c r="I10" s="244"/>
      <c r="J10" s="21">
        <f>+J6+J8</f>
        <v>289759</v>
      </c>
      <c r="K10" s="21">
        <f t="shared" si="2"/>
        <v>266750</v>
      </c>
      <c r="L10" s="21">
        <f t="shared" si="2"/>
        <v>251941</v>
      </c>
      <c r="M10" s="21">
        <f t="shared" si="2"/>
        <v>203977</v>
      </c>
      <c r="N10" s="21">
        <f t="shared" si="2"/>
        <v>195110</v>
      </c>
      <c r="O10" s="239">
        <f t="shared" si="2"/>
        <v>65243</v>
      </c>
      <c r="P10" s="239"/>
      <c r="Q10" s="21">
        <f t="shared" si="2"/>
        <v>185715</v>
      </c>
      <c r="R10" s="21">
        <f t="shared" si="2"/>
        <v>118092</v>
      </c>
      <c r="S10" s="21">
        <f t="shared" si="2"/>
        <v>179725</v>
      </c>
      <c r="T10" s="21">
        <f t="shared" si="2"/>
        <v>170412</v>
      </c>
      <c r="U10" s="21">
        <f t="shared" si="2"/>
        <v>198402</v>
      </c>
      <c r="V10" s="244">
        <f t="shared" si="2"/>
        <v>58625</v>
      </c>
      <c r="W10" s="244"/>
      <c r="X10" s="45">
        <f>+X6+X8</f>
        <v>223897</v>
      </c>
      <c r="Y10" s="21">
        <f t="shared" si="2"/>
        <v>214763</v>
      </c>
      <c r="Z10" s="21">
        <f t="shared" si="2"/>
        <v>153767</v>
      </c>
      <c r="AA10" s="21">
        <f>+AA6+AA8</f>
        <v>240816</v>
      </c>
      <c r="AB10" s="21">
        <f t="shared" si="2"/>
        <v>223882</v>
      </c>
      <c r="AC10" s="244">
        <f t="shared" si="2"/>
        <v>70292</v>
      </c>
      <c r="AD10" s="244"/>
      <c r="AE10" s="152">
        <f>+AE6+AE8</f>
        <v>227668</v>
      </c>
      <c r="AF10" s="132">
        <f>+AF6+AF8</f>
        <v>148221</v>
      </c>
    </row>
    <row r="11" spans="1:32" s="37" customFormat="1" ht="13.5" thickBot="1">
      <c r="A11" s="107"/>
      <c r="B11" s="78"/>
      <c r="C11" s="76"/>
      <c r="D11" s="79"/>
      <c r="E11" s="79"/>
      <c r="F11" s="79"/>
      <c r="G11" s="74"/>
      <c r="H11" s="75"/>
      <c r="I11" s="75"/>
      <c r="J11" s="74"/>
      <c r="K11" s="74"/>
      <c r="L11" s="74"/>
      <c r="M11" s="74"/>
      <c r="N11" s="74"/>
      <c r="O11" s="78"/>
      <c r="P11" s="78"/>
      <c r="Q11" s="79"/>
      <c r="R11" s="79"/>
      <c r="S11" s="79"/>
      <c r="T11" s="74"/>
      <c r="U11" s="74"/>
      <c r="V11" s="75"/>
      <c r="W11" s="75"/>
      <c r="X11" s="79"/>
      <c r="Y11" s="76"/>
      <c r="Z11" s="76"/>
      <c r="AA11" s="74"/>
      <c r="AB11" s="74"/>
      <c r="AC11" s="75"/>
      <c r="AD11" s="75"/>
      <c r="AE11" s="79"/>
      <c r="AF11" s="130"/>
    </row>
    <row r="13" spans="1:32">
      <c r="J13" s="34"/>
      <c r="K13" s="34"/>
      <c r="L13" s="34"/>
      <c r="M13" s="34"/>
      <c r="AC13" s="23"/>
    </row>
    <row r="14" spans="1:32">
      <c r="W14" s="23"/>
    </row>
    <row r="15" spans="1:32" s="133" customFormat="1" ht="10.5">
      <c r="C15" s="134"/>
      <c r="D15" s="134"/>
      <c r="E15" s="134"/>
      <c r="F15" s="134"/>
      <c r="G15" s="134"/>
      <c r="J15" s="134"/>
      <c r="L15" s="134"/>
      <c r="R15" s="134"/>
      <c r="S15" s="134"/>
      <c r="T15" s="134"/>
      <c r="U15" s="134"/>
      <c r="V15" s="134"/>
    </row>
    <row r="16" spans="1:32">
      <c r="K16" s="34"/>
    </row>
    <row r="20" spans="15:15">
      <c r="O20" s="22"/>
    </row>
  </sheetData>
  <mergeCells count="11">
    <mergeCell ref="H10:I10"/>
    <mergeCell ref="O10:P10"/>
    <mergeCell ref="V10:W10"/>
    <mergeCell ref="AC10:AD10"/>
    <mergeCell ref="O6:P6"/>
    <mergeCell ref="V6:W6"/>
    <mergeCell ref="AC6:AD6"/>
    <mergeCell ref="H8:I8"/>
    <mergeCell ref="O8:P8"/>
    <mergeCell ref="V8:W8"/>
    <mergeCell ref="AC8:AD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6" sqref="C6"/>
    </sheetView>
  </sheetViews>
  <sheetFormatPr baseColWidth="10" defaultRowHeight="12.75"/>
  <cols>
    <col min="1" max="1" width="11.42578125" style="146"/>
    <col min="2" max="5" width="7.5703125" bestFit="1" customWidth="1"/>
    <col min="6" max="6" width="6.5703125" bestFit="1" customWidth="1"/>
    <col min="7" max="7" width="7.42578125" bestFit="1" customWidth="1"/>
    <col min="8" max="12" width="7.5703125" bestFit="1" customWidth="1"/>
    <col min="13" max="13" width="6.5703125" bestFit="1" customWidth="1"/>
    <col min="14" max="15" width="7.5703125" bestFit="1" customWidth="1"/>
    <col min="16" max="16" width="7.85546875" customWidth="1"/>
    <col min="17" max="19" width="7.5703125" bestFit="1" customWidth="1"/>
    <col min="20" max="20" width="6.5703125" bestFit="1" customWidth="1"/>
    <col min="21" max="31" width="7.5703125" bestFit="1" customWidth="1"/>
    <col min="32" max="32" width="9.28515625" customWidth="1"/>
  </cols>
  <sheetData>
    <row r="1" spans="1:32">
      <c r="A1" s="137"/>
      <c r="B1" s="24">
        <v>45658</v>
      </c>
      <c r="C1" s="24">
        <f t="shared" ref="C1:Q2" si="0">+B1+1</f>
        <v>45659</v>
      </c>
      <c r="D1" s="24">
        <f t="shared" si="0"/>
        <v>45660</v>
      </c>
      <c r="E1" s="24">
        <f t="shared" si="0"/>
        <v>45661</v>
      </c>
      <c r="F1" s="24">
        <f t="shared" si="0"/>
        <v>45662</v>
      </c>
      <c r="G1" s="24">
        <f t="shared" si="0"/>
        <v>45663</v>
      </c>
      <c r="H1" s="24">
        <f t="shared" si="0"/>
        <v>45664</v>
      </c>
      <c r="I1" s="24">
        <f t="shared" si="0"/>
        <v>45665</v>
      </c>
      <c r="J1" s="24">
        <f t="shared" si="0"/>
        <v>45666</v>
      </c>
      <c r="K1" s="24">
        <f t="shared" si="0"/>
        <v>45667</v>
      </c>
      <c r="L1" s="24">
        <f t="shared" si="0"/>
        <v>45668</v>
      </c>
      <c r="M1" s="24">
        <f t="shared" si="0"/>
        <v>45669</v>
      </c>
      <c r="N1" s="24">
        <f t="shared" si="0"/>
        <v>45670</v>
      </c>
      <c r="O1" s="24">
        <f t="shared" si="0"/>
        <v>45671</v>
      </c>
      <c r="P1" s="24">
        <f t="shared" si="0"/>
        <v>45672</v>
      </c>
      <c r="Q1" s="24">
        <f t="shared" si="0"/>
        <v>45673</v>
      </c>
      <c r="R1" s="24">
        <f t="shared" ref="Q1:AF2" si="1">+Q1+1</f>
        <v>45674</v>
      </c>
      <c r="S1" s="24">
        <f t="shared" si="1"/>
        <v>45675</v>
      </c>
      <c r="T1" s="24">
        <f t="shared" si="1"/>
        <v>45676</v>
      </c>
      <c r="U1" s="24">
        <f t="shared" si="1"/>
        <v>45677</v>
      </c>
      <c r="V1" s="24">
        <f t="shared" si="1"/>
        <v>45678</v>
      </c>
      <c r="W1" s="24">
        <f t="shared" si="1"/>
        <v>45679</v>
      </c>
      <c r="X1" s="88">
        <f t="shared" si="1"/>
        <v>45680</v>
      </c>
      <c r="Y1" s="88">
        <f t="shared" si="1"/>
        <v>45681</v>
      </c>
      <c r="Z1" s="88">
        <f t="shared" si="1"/>
        <v>45682</v>
      </c>
      <c r="AA1" s="88">
        <f t="shared" si="1"/>
        <v>45683</v>
      </c>
      <c r="AB1" s="88">
        <f t="shared" si="1"/>
        <v>45684</v>
      </c>
      <c r="AC1" s="88">
        <f t="shared" si="1"/>
        <v>45685</v>
      </c>
      <c r="AD1" s="88">
        <f t="shared" si="1"/>
        <v>45686</v>
      </c>
      <c r="AE1" s="88">
        <f t="shared" si="1"/>
        <v>45687</v>
      </c>
      <c r="AF1" s="38">
        <f t="shared" si="1"/>
        <v>45688</v>
      </c>
    </row>
    <row r="2" spans="1:32">
      <c r="A2" s="138"/>
      <c r="B2" s="5">
        <v>45658</v>
      </c>
      <c r="C2" s="5">
        <f t="shared" si="0"/>
        <v>45659</v>
      </c>
      <c r="D2" s="5">
        <f t="shared" si="0"/>
        <v>45660</v>
      </c>
      <c r="E2" s="5">
        <f t="shared" si="0"/>
        <v>45661</v>
      </c>
      <c r="F2" s="5">
        <f t="shared" si="0"/>
        <v>45662</v>
      </c>
      <c r="G2" s="5">
        <f t="shared" si="0"/>
        <v>45663</v>
      </c>
      <c r="H2" s="5">
        <f t="shared" si="0"/>
        <v>45664</v>
      </c>
      <c r="I2" s="5">
        <f t="shared" si="0"/>
        <v>45665</v>
      </c>
      <c r="J2" s="5">
        <f t="shared" si="0"/>
        <v>45666</v>
      </c>
      <c r="K2" s="5">
        <f t="shared" si="0"/>
        <v>45667</v>
      </c>
      <c r="L2" s="5">
        <f t="shared" si="0"/>
        <v>45668</v>
      </c>
      <c r="M2" s="5">
        <f t="shared" si="0"/>
        <v>45669</v>
      </c>
      <c r="N2" s="5">
        <f t="shared" si="0"/>
        <v>45670</v>
      </c>
      <c r="O2" s="5">
        <f t="shared" si="0"/>
        <v>45671</v>
      </c>
      <c r="P2" s="5">
        <f t="shared" si="0"/>
        <v>45672</v>
      </c>
      <c r="Q2" s="5">
        <f t="shared" si="1"/>
        <v>45673</v>
      </c>
      <c r="R2" s="5">
        <f t="shared" si="1"/>
        <v>45674</v>
      </c>
      <c r="S2" s="5">
        <f t="shared" si="1"/>
        <v>45675</v>
      </c>
      <c r="T2" s="5">
        <f t="shared" si="1"/>
        <v>45676</v>
      </c>
      <c r="U2" s="5">
        <f t="shared" si="1"/>
        <v>45677</v>
      </c>
      <c r="V2" s="5">
        <f t="shared" si="1"/>
        <v>45678</v>
      </c>
      <c r="W2" s="5">
        <f t="shared" si="1"/>
        <v>45679</v>
      </c>
      <c r="X2" s="89">
        <f t="shared" si="1"/>
        <v>45680</v>
      </c>
      <c r="Y2" s="89">
        <f t="shared" si="1"/>
        <v>45681</v>
      </c>
      <c r="Z2" s="89">
        <f t="shared" si="1"/>
        <v>45682</v>
      </c>
      <c r="AA2" s="89">
        <f t="shared" si="1"/>
        <v>45683</v>
      </c>
      <c r="AB2" s="89">
        <f t="shared" si="1"/>
        <v>45684</v>
      </c>
      <c r="AC2" s="89">
        <f t="shared" si="1"/>
        <v>45685</v>
      </c>
      <c r="AD2" s="89">
        <f t="shared" si="1"/>
        <v>45686</v>
      </c>
      <c r="AE2" s="89">
        <f t="shared" si="1"/>
        <v>45687</v>
      </c>
      <c r="AF2" s="39">
        <f t="shared" si="1"/>
        <v>45688</v>
      </c>
    </row>
    <row r="3" spans="1:32" ht="13.5" thickBot="1">
      <c r="A3" s="139"/>
      <c r="B3" s="7"/>
      <c r="C3" s="7"/>
      <c r="D3" s="7"/>
      <c r="E3" s="16"/>
      <c r="F3" s="16"/>
      <c r="G3" s="42"/>
      <c r="H3" s="42"/>
      <c r="I3" s="7"/>
      <c r="J3" s="7"/>
      <c r="K3" s="7"/>
      <c r="L3" s="16"/>
      <c r="M3" s="16"/>
      <c r="N3" s="7"/>
      <c r="O3" s="7"/>
      <c r="P3" s="7"/>
      <c r="Q3" s="7"/>
      <c r="R3" s="7"/>
      <c r="S3" s="16"/>
      <c r="T3" s="16"/>
      <c r="U3" s="7"/>
      <c r="V3" s="7"/>
      <c r="W3" s="7"/>
      <c r="X3" s="7"/>
      <c r="Y3" s="92"/>
      <c r="Z3" s="16"/>
      <c r="AA3" s="16"/>
      <c r="AB3" s="92"/>
      <c r="AC3" s="92"/>
      <c r="AD3" s="92"/>
      <c r="AE3" s="92"/>
      <c r="AF3" s="153"/>
    </row>
    <row r="4" spans="1:32" ht="15">
      <c r="A4" s="140" t="s">
        <v>0</v>
      </c>
      <c r="B4" s="1"/>
      <c r="C4" s="1"/>
      <c r="D4" s="1"/>
      <c r="E4" s="55"/>
      <c r="F4" s="41"/>
      <c r="G4" s="25"/>
      <c r="H4" s="25"/>
      <c r="I4" s="1"/>
      <c r="J4" s="1"/>
      <c r="K4" s="1"/>
      <c r="L4" s="14"/>
      <c r="M4" s="41"/>
      <c r="N4" s="30"/>
      <c r="O4" s="30"/>
      <c r="P4" s="1"/>
      <c r="Q4" s="1"/>
      <c r="R4" s="30"/>
      <c r="S4" s="14"/>
      <c r="T4" s="41"/>
      <c r="U4" s="1"/>
      <c r="V4" s="1"/>
      <c r="W4" s="30"/>
      <c r="X4" s="30"/>
      <c r="Y4" s="30"/>
      <c r="Z4" s="14"/>
      <c r="AA4" s="41"/>
      <c r="AB4" s="30"/>
      <c r="AC4" s="30"/>
      <c r="AD4" s="30"/>
      <c r="AE4" s="30"/>
      <c r="AF4" s="57"/>
    </row>
    <row r="5" spans="1:32" ht="15">
      <c r="A5" s="141"/>
      <c r="B5" s="1"/>
      <c r="C5" s="1"/>
      <c r="D5" s="1"/>
      <c r="E5" s="15"/>
      <c r="F5" s="14"/>
      <c r="G5" s="25"/>
      <c r="H5" s="25"/>
      <c r="I5" s="1"/>
      <c r="J5" s="1"/>
      <c r="K5" s="1"/>
      <c r="L5" s="14"/>
      <c r="M5" s="14"/>
      <c r="N5" s="28"/>
      <c r="O5" s="28"/>
      <c r="P5" s="25"/>
      <c r="Q5" s="1"/>
      <c r="R5" s="28"/>
      <c r="S5" s="14"/>
      <c r="T5" s="14"/>
      <c r="U5" s="1"/>
      <c r="V5" s="1"/>
      <c r="W5" s="28"/>
      <c r="X5" s="71"/>
      <c r="Y5" s="71"/>
      <c r="Z5" s="14"/>
      <c r="AA5" s="14"/>
      <c r="AB5" s="71"/>
      <c r="AC5" s="71"/>
      <c r="AD5" s="71"/>
      <c r="AE5" s="71"/>
      <c r="AF5" s="58"/>
    </row>
    <row r="6" spans="1:32" s="37" customFormat="1" ht="15" customHeight="1">
      <c r="A6" s="142" t="s">
        <v>1</v>
      </c>
      <c r="B6" s="18"/>
      <c r="C6" s="18">
        <v>99235</v>
      </c>
      <c r="D6" s="18">
        <v>159130</v>
      </c>
      <c r="E6" s="237"/>
      <c r="F6" s="237"/>
      <c r="G6" s="66">
        <v>163651</v>
      </c>
      <c r="H6" s="66">
        <v>111452</v>
      </c>
      <c r="I6" s="18">
        <v>170945</v>
      </c>
      <c r="J6" s="18">
        <v>116915</v>
      </c>
      <c r="K6" s="18">
        <v>139781</v>
      </c>
      <c r="L6" s="237"/>
      <c r="M6" s="237"/>
      <c r="N6" s="66">
        <v>174107</v>
      </c>
      <c r="O6" s="66">
        <v>133671</v>
      </c>
      <c r="P6" s="66">
        <v>184131</v>
      </c>
      <c r="Q6" s="66">
        <v>124861</v>
      </c>
      <c r="R6" s="66">
        <v>144155</v>
      </c>
      <c r="S6" s="237"/>
      <c r="T6" s="237"/>
      <c r="U6" s="18">
        <v>176733</v>
      </c>
      <c r="V6" s="18">
        <v>130540</v>
      </c>
      <c r="W6" s="66">
        <v>148791</v>
      </c>
      <c r="X6" s="136">
        <v>101782</v>
      </c>
      <c r="Y6" s="136">
        <v>131375</v>
      </c>
      <c r="Z6" s="237"/>
      <c r="AA6" s="237"/>
      <c r="AB6" s="136">
        <v>151645</v>
      </c>
      <c r="AC6" s="136">
        <v>115964</v>
      </c>
      <c r="AD6" s="136">
        <v>161859</v>
      </c>
      <c r="AE6" s="136">
        <v>122078</v>
      </c>
      <c r="AF6" s="135">
        <v>128427</v>
      </c>
    </row>
    <row r="7" spans="1:32" s="37" customFormat="1" ht="15">
      <c r="A7" s="143"/>
      <c r="B7" s="19"/>
      <c r="C7" s="19"/>
      <c r="D7" s="19"/>
      <c r="E7" s="46"/>
      <c r="F7" s="44"/>
      <c r="G7" s="26"/>
      <c r="H7" s="26"/>
      <c r="I7" s="19"/>
      <c r="J7" s="19"/>
      <c r="K7" s="19"/>
      <c r="L7" s="44"/>
      <c r="M7" s="44"/>
      <c r="N7" s="69"/>
      <c r="O7" s="69"/>
      <c r="P7" s="26"/>
      <c r="Q7" s="19"/>
      <c r="R7" s="69"/>
      <c r="S7" s="44"/>
      <c r="T7" s="44"/>
      <c r="U7" s="19"/>
      <c r="V7" s="19"/>
      <c r="W7" s="69"/>
      <c r="X7" s="117"/>
      <c r="Y7" s="117"/>
      <c r="Z7" s="44"/>
      <c r="AA7" s="44"/>
      <c r="AB7" s="117"/>
      <c r="AC7" s="117"/>
      <c r="AD7" s="117"/>
      <c r="AE7" s="117"/>
      <c r="AF7" s="154"/>
    </row>
    <row r="8" spans="1:32" s="37" customFormat="1" ht="15" customHeight="1">
      <c r="A8" s="143" t="s">
        <v>2</v>
      </c>
      <c r="B8" s="18">
        <v>80253</v>
      </c>
      <c r="C8" s="18">
        <v>76663</v>
      </c>
      <c r="D8" s="18">
        <v>48014</v>
      </c>
      <c r="E8" s="237">
        <v>51136</v>
      </c>
      <c r="F8" s="237"/>
      <c r="G8" s="66">
        <v>31440</v>
      </c>
      <c r="H8" s="66">
        <v>67041</v>
      </c>
      <c r="I8" s="18">
        <v>45947</v>
      </c>
      <c r="J8" s="18">
        <v>72213</v>
      </c>
      <c r="K8" s="18">
        <v>62598</v>
      </c>
      <c r="L8" s="234">
        <v>66197</v>
      </c>
      <c r="M8" s="234"/>
      <c r="N8" s="66">
        <v>54111</v>
      </c>
      <c r="O8" s="66">
        <v>185724</v>
      </c>
      <c r="P8" s="66">
        <v>75304</v>
      </c>
      <c r="Q8" s="18">
        <v>101966</v>
      </c>
      <c r="R8" s="66">
        <v>88166</v>
      </c>
      <c r="S8" s="237">
        <v>68857</v>
      </c>
      <c r="T8" s="237"/>
      <c r="U8" s="66">
        <v>54052</v>
      </c>
      <c r="V8" s="66">
        <v>80367</v>
      </c>
      <c r="W8" s="66">
        <v>64284</v>
      </c>
      <c r="X8" s="136">
        <v>64752</v>
      </c>
      <c r="Y8" s="136">
        <v>34244</v>
      </c>
      <c r="Z8" s="237">
        <v>47992</v>
      </c>
      <c r="AA8" s="237"/>
      <c r="AB8" s="136">
        <v>32287</v>
      </c>
      <c r="AC8" s="136">
        <v>36354</v>
      </c>
      <c r="AD8" s="136">
        <v>27460</v>
      </c>
      <c r="AE8" s="136">
        <v>43609</v>
      </c>
      <c r="AF8" s="135">
        <v>39869</v>
      </c>
    </row>
    <row r="9" spans="1:32" ht="15">
      <c r="A9" s="144"/>
      <c r="B9" s="31"/>
      <c r="C9" s="31"/>
      <c r="D9" s="31"/>
      <c r="E9" s="15"/>
      <c r="F9" s="14"/>
      <c r="G9" s="32"/>
      <c r="H9" s="32"/>
      <c r="I9" s="31"/>
      <c r="J9" s="31"/>
      <c r="K9" s="31"/>
      <c r="L9" s="35"/>
      <c r="M9" s="14"/>
      <c r="N9" s="28"/>
      <c r="O9" s="28"/>
      <c r="P9" s="32"/>
      <c r="Q9" s="31"/>
      <c r="R9" s="28"/>
      <c r="S9" s="35"/>
      <c r="T9" s="14"/>
      <c r="U9" s="31"/>
      <c r="V9" s="31"/>
      <c r="W9" s="28"/>
      <c r="X9" s="71"/>
      <c r="Y9" s="71"/>
      <c r="Z9" s="35"/>
      <c r="AA9" s="14"/>
      <c r="AB9" s="71"/>
      <c r="AC9" s="71"/>
      <c r="AD9" s="71"/>
      <c r="AE9" s="71"/>
      <c r="AF9" s="58"/>
    </row>
    <row r="10" spans="1:32" s="37" customFormat="1">
      <c r="A10" s="142" t="s">
        <v>3</v>
      </c>
      <c r="B10" s="21">
        <f t="shared" ref="B10:AE10" si="2">+B6+B8</f>
        <v>80253</v>
      </c>
      <c r="C10" s="21">
        <f t="shared" si="2"/>
        <v>175898</v>
      </c>
      <c r="D10" s="21">
        <f t="shared" si="2"/>
        <v>207144</v>
      </c>
      <c r="E10" s="239">
        <f t="shared" si="2"/>
        <v>51136</v>
      </c>
      <c r="F10" s="239"/>
      <c r="G10" s="21">
        <f t="shared" si="2"/>
        <v>195091</v>
      </c>
      <c r="H10" s="21">
        <f t="shared" si="2"/>
        <v>178493</v>
      </c>
      <c r="I10" s="21">
        <f t="shared" si="2"/>
        <v>216892</v>
      </c>
      <c r="J10" s="21">
        <f t="shared" si="2"/>
        <v>189128</v>
      </c>
      <c r="K10" s="21">
        <f t="shared" si="2"/>
        <v>202379</v>
      </c>
      <c r="L10" s="244">
        <f t="shared" si="2"/>
        <v>66197</v>
      </c>
      <c r="M10" s="244"/>
      <c r="N10" s="21">
        <f t="shared" si="2"/>
        <v>228218</v>
      </c>
      <c r="O10" s="21">
        <f t="shared" si="2"/>
        <v>319395</v>
      </c>
      <c r="P10" s="21">
        <f t="shared" si="2"/>
        <v>259435</v>
      </c>
      <c r="Q10" s="21">
        <f t="shared" si="2"/>
        <v>226827</v>
      </c>
      <c r="R10" s="21">
        <f t="shared" si="2"/>
        <v>232321</v>
      </c>
      <c r="S10" s="244">
        <f t="shared" si="2"/>
        <v>68857</v>
      </c>
      <c r="T10" s="244"/>
      <c r="U10" s="21">
        <f t="shared" si="2"/>
        <v>230785</v>
      </c>
      <c r="V10" s="21">
        <f t="shared" si="2"/>
        <v>210907</v>
      </c>
      <c r="W10" s="21">
        <f t="shared" si="2"/>
        <v>213075</v>
      </c>
      <c r="X10" s="91">
        <f t="shared" si="2"/>
        <v>166534</v>
      </c>
      <c r="Y10" s="91">
        <f t="shared" si="2"/>
        <v>165619</v>
      </c>
      <c r="Z10" s="244">
        <f t="shared" si="2"/>
        <v>47992</v>
      </c>
      <c r="AA10" s="244">
        <f t="shared" si="2"/>
        <v>0</v>
      </c>
      <c r="AB10" s="91">
        <f t="shared" si="2"/>
        <v>183932</v>
      </c>
      <c r="AC10" s="91">
        <f t="shared" si="2"/>
        <v>152318</v>
      </c>
      <c r="AD10" s="91">
        <f t="shared" si="2"/>
        <v>189319</v>
      </c>
      <c r="AE10" s="91">
        <f t="shared" si="2"/>
        <v>165687</v>
      </c>
      <c r="AF10" s="60">
        <f>+AF6+AF8</f>
        <v>168296</v>
      </c>
    </row>
    <row r="11" spans="1:32" ht="13.5" thickBot="1">
      <c r="A11" s="145"/>
      <c r="B11" s="7"/>
      <c r="C11" s="7"/>
      <c r="D11" s="7"/>
      <c r="E11" s="17"/>
      <c r="F11" s="16"/>
      <c r="G11" s="42"/>
      <c r="H11" s="42"/>
      <c r="I11" s="7"/>
      <c r="J11" s="7"/>
      <c r="K11" s="7"/>
      <c r="L11" s="16"/>
      <c r="M11" s="16"/>
      <c r="N11" s="29"/>
      <c r="O11" s="29"/>
      <c r="P11" s="7"/>
      <c r="Q11" s="7"/>
      <c r="R11" s="29"/>
      <c r="S11" s="16"/>
      <c r="T11" s="16"/>
      <c r="U11" s="7"/>
      <c r="V11" s="7"/>
      <c r="W11" s="29"/>
      <c r="X11" s="29"/>
      <c r="Y11" s="29"/>
      <c r="Z11" s="16"/>
      <c r="AA11" s="16"/>
      <c r="AB11" s="29"/>
      <c r="AC11" s="29"/>
      <c r="AD11" s="29"/>
      <c r="AE11" s="29"/>
      <c r="AF11" s="61"/>
    </row>
    <row r="13" spans="1:32">
      <c r="R13" s="23"/>
    </row>
    <row r="14" spans="1:32">
      <c r="L14" s="23"/>
    </row>
    <row r="15" spans="1:32">
      <c r="G15" s="40"/>
      <c r="H15" s="40"/>
      <c r="I15" s="40"/>
      <c r="J15" s="40"/>
      <c r="K15" s="40"/>
    </row>
    <row r="20" spans="4:4">
      <c r="D20" s="22"/>
    </row>
  </sheetData>
  <mergeCells count="12">
    <mergeCell ref="E10:F10"/>
    <mergeCell ref="L10:M10"/>
    <mergeCell ref="S10:T10"/>
    <mergeCell ref="Z10:AA10"/>
    <mergeCell ref="E6:F6"/>
    <mergeCell ref="L6:M6"/>
    <mergeCell ref="S6:T6"/>
    <mergeCell ref="Z6:AA6"/>
    <mergeCell ref="E8:F8"/>
    <mergeCell ref="L8:M8"/>
    <mergeCell ref="S8:T8"/>
    <mergeCell ref="Z8:AA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C10" sqref="AC10"/>
    </sheetView>
  </sheetViews>
  <sheetFormatPr baseColWidth="10" defaultRowHeight="12.75"/>
  <cols>
    <col min="2" max="2" width="7.5703125" bestFit="1" customWidth="1"/>
    <col min="3" max="3" width="6.5703125" bestFit="1" customWidth="1"/>
    <col min="4" max="9" width="7.5703125" bestFit="1" customWidth="1"/>
    <col min="10" max="10" width="6.5703125" bestFit="1" customWidth="1"/>
    <col min="11" max="11" width="7.42578125" bestFit="1" customWidth="1"/>
    <col min="12" max="16" width="7.5703125" bestFit="1" customWidth="1"/>
    <col min="17" max="17" width="6.5703125" bestFit="1" customWidth="1"/>
    <col min="18" max="19" width="7.5703125" bestFit="1" customWidth="1"/>
    <col min="20" max="20" width="7.85546875" customWidth="1"/>
    <col min="21" max="23" width="7.5703125" bestFit="1" customWidth="1"/>
    <col min="24" max="24" width="6.5703125" bestFit="1" customWidth="1"/>
    <col min="25" max="29" width="7.5703125" bestFit="1" customWidth="1"/>
    <col min="30" max="31" width="7.85546875" customWidth="1"/>
  </cols>
  <sheetData>
    <row r="1" spans="1:31">
      <c r="A1" s="2"/>
      <c r="B1" s="24">
        <v>45689</v>
      </c>
      <c r="C1" s="24">
        <f t="shared" ref="C1:P2" si="0">+B1+1</f>
        <v>45690</v>
      </c>
      <c r="D1" s="24">
        <f t="shared" si="0"/>
        <v>45691</v>
      </c>
      <c r="E1" s="24">
        <f t="shared" si="0"/>
        <v>45692</v>
      </c>
      <c r="F1" s="24">
        <f t="shared" si="0"/>
        <v>45693</v>
      </c>
      <c r="G1" s="24">
        <f t="shared" si="0"/>
        <v>45694</v>
      </c>
      <c r="H1" s="24">
        <f t="shared" si="0"/>
        <v>45695</v>
      </c>
      <c r="I1" s="24">
        <f t="shared" si="0"/>
        <v>45696</v>
      </c>
      <c r="J1" s="24">
        <f t="shared" si="0"/>
        <v>45697</v>
      </c>
      <c r="K1" s="24">
        <f t="shared" si="0"/>
        <v>45698</v>
      </c>
      <c r="L1" s="24">
        <f t="shared" si="0"/>
        <v>45699</v>
      </c>
      <c r="M1" s="24">
        <f t="shared" si="0"/>
        <v>45700</v>
      </c>
      <c r="N1" s="24">
        <f t="shared" si="0"/>
        <v>45701</v>
      </c>
      <c r="O1" s="24">
        <f t="shared" si="0"/>
        <v>45702</v>
      </c>
      <c r="P1" s="24">
        <f t="shared" si="0"/>
        <v>45703</v>
      </c>
      <c r="Q1" s="24">
        <f t="shared" ref="Q1:AE2" si="1">+P1+1</f>
        <v>45704</v>
      </c>
      <c r="R1" s="24">
        <f t="shared" si="1"/>
        <v>45705</v>
      </c>
      <c r="S1" s="24">
        <f t="shared" si="1"/>
        <v>45706</v>
      </c>
      <c r="T1" s="24">
        <f t="shared" si="1"/>
        <v>45707</v>
      </c>
      <c r="U1" s="24">
        <f t="shared" si="1"/>
        <v>45708</v>
      </c>
      <c r="V1" s="24">
        <f t="shared" si="1"/>
        <v>45709</v>
      </c>
      <c r="W1" s="24">
        <f t="shared" si="1"/>
        <v>45710</v>
      </c>
      <c r="X1" s="24">
        <f t="shared" si="1"/>
        <v>45711</v>
      </c>
      <c r="Y1" s="24">
        <f t="shared" si="1"/>
        <v>45712</v>
      </c>
      <c r="Z1" s="24">
        <f t="shared" si="1"/>
        <v>45713</v>
      </c>
      <c r="AA1" s="24">
        <f t="shared" si="1"/>
        <v>45714</v>
      </c>
      <c r="AB1" s="24">
        <f t="shared" si="1"/>
        <v>45715</v>
      </c>
      <c r="AC1" s="24">
        <f t="shared" si="1"/>
        <v>45716</v>
      </c>
      <c r="AD1" s="88">
        <f t="shared" si="1"/>
        <v>45717</v>
      </c>
      <c r="AE1" s="38">
        <f t="shared" si="1"/>
        <v>45718</v>
      </c>
    </row>
    <row r="2" spans="1:31">
      <c r="A2" s="4"/>
      <c r="B2" s="5">
        <v>45689</v>
      </c>
      <c r="C2" s="5">
        <f t="shared" si="0"/>
        <v>45690</v>
      </c>
      <c r="D2" s="5">
        <f t="shared" si="0"/>
        <v>45691</v>
      </c>
      <c r="E2" s="5">
        <f t="shared" si="0"/>
        <v>45692</v>
      </c>
      <c r="F2" s="5">
        <f t="shared" si="0"/>
        <v>45693</v>
      </c>
      <c r="G2" s="5">
        <f t="shared" si="0"/>
        <v>45694</v>
      </c>
      <c r="H2" s="5">
        <f t="shared" si="0"/>
        <v>45695</v>
      </c>
      <c r="I2" s="5">
        <f t="shared" si="0"/>
        <v>45696</v>
      </c>
      <c r="J2" s="5">
        <f t="shared" si="0"/>
        <v>45697</v>
      </c>
      <c r="K2" s="5">
        <f t="shared" si="0"/>
        <v>45698</v>
      </c>
      <c r="L2" s="5">
        <f t="shared" si="0"/>
        <v>45699</v>
      </c>
      <c r="M2" s="5">
        <f t="shared" si="0"/>
        <v>45700</v>
      </c>
      <c r="N2" s="5">
        <f t="shared" si="0"/>
        <v>45701</v>
      </c>
      <c r="O2" s="5">
        <f t="shared" si="0"/>
        <v>45702</v>
      </c>
      <c r="P2" s="5">
        <f t="shared" si="0"/>
        <v>45703</v>
      </c>
      <c r="Q2" s="5">
        <f t="shared" si="1"/>
        <v>45704</v>
      </c>
      <c r="R2" s="5">
        <f t="shared" si="1"/>
        <v>45705</v>
      </c>
      <c r="S2" s="5">
        <f t="shared" si="1"/>
        <v>45706</v>
      </c>
      <c r="T2" s="5">
        <f t="shared" si="1"/>
        <v>45707</v>
      </c>
      <c r="U2" s="5">
        <f t="shared" si="1"/>
        <v>45708</v>
      </c>
      <c r="V2" s="5">
        <f t="shared" si="1"/>
        <v>45709</v>
      </c>
      <c r="W2" s="5">
        <f t="shared" si="1"/>
        <v>45710</v>
      </c>
      <c r="X2" s="5">
        <f t="shared" si="1"/>
        <v>45711</v>
      </c>
      <c r="Y2" s="5">
        <f t="shared" si="1"/>
        <v>45712</v>
      </c>
      <c r="Z2" s="5">
        <f t="shared" si="1"/>
        <v>45713</v>
      </c>
      <c r="AA2" s="5">
        <f t="shared" si="1"/>
        <v>45714</v>
      </c>
      <c r="AB2" s="5">
        <f t="shared" si="1"/>
        <v>45715</v>
      </c>
      <c r="AC2" s="5">
        <f t="shared" si="1"/>
        <v>45716</v>
      </c>
      <c r="AD2" s="89">
        <f t="shared" si="1"/>
        <v>45717</v>
      </c>
      <c r="AE2" s="39">
        <f t="shared" si="1"/>
        <v>45718</v>
      </c>
    </row>
    <row r="3" spans="1:31" ht="13.5" thickBot="1">
      <c r="A3" s="6"/>
      <c r="B3" s="16"/>
      <c r="C3" s="16"/>
      <c r="D3" s="7"/>
      <c r="E3" s="7"/>
      <c r="F3" s="7"/>
      <c r="G3" s="7"/>
      <c r="H3" s="7"/>
      <c r="I3" s="16"/>
      <c r="J3" s="16"/>
      <c r="K3" s="42"/>
      <c r="L3" s="42"/>
      <c r="M3" s="7"/>
      <c r="N3" s="7"/>
      <c r="O3" s="7"/>
      <c r="P3" s="16"/>
      <c r="Q3" s="16"/>
      <c r="R3" s="7"/>
      <c r="S3" s="7"/>
      <c r="T3" s="7"/>
      <c r="U3" s="7"/>
      <c r="V3" s="7"/>
      <c r="W3" s="16"/>
      <c r="X3" s="16"/>
      <c r="Y3" s="7"/>
      <c r="Z3" s="7"/>
      <c r="AA3" s="7"/>
      <c r="AB3" s="7"/>
      <c r="AC3" s="7"/>
      <c r="AD3" s="16"/>
      <c r="AE3" s="93"/>
    </row>
    <row r="4" spans="1:31" ht="15">
      <c r="A4" s="9" t="s">
        <v>0</v>
      </c>
      <c r="B4" s="14"/>
      <c r="C4" s="41"/>
      <c r="D4" s="1"/>
      <c r="E4" s="1"/>
      <c r="F4" s="1"/>
      <c r="G4" s="1"/>
      <c r="H4" s="1"/>
      <c r="I4" s="55"/>
      <c r="J4" s="41"/>
      <c r="K4" s="25"/>
      <c r="L4" s="25"/>
      <c r="M4" s="1"/>
      <c r="N4" s="1"/>
      <c r="O4" s="1"/>
      <c r="P4" s="14"/>
      <c r="Q4" s="41"/>
      <c r="R4" s="30"/>
      <c r="S4" s="30"/>
      <c r="T4" s="1"/>
      <c r="U4" s="1"/>
      <c r="V4" s="30"/>
      <c r="W4" s="14"/>
      <c r="X4" s="41"/>
      <c r="Y4" s="1"/>
      <c r="Z4" s="1"/>
      <c r="AA4" s="30"/>
      <c r="AB4" s="30"/>
      <c r="AC4" s="30"/>
      <c r="AD4" s="94"/>
      <c r="AE4" s="95"/>
    </row>
    <row r="5" spans="1:31" ht="15">
      <c r="A5" s="10"/>
      <c r="B5" s="14"/>
      <c r="C5" s="14"/>
      <c r="D5" s="1"/>
      <c r="E5" s="1"/>
      <c r="F5" s="1"/>
      <c r="G5" s="1"/>
      <c r="H5" s="1"/>
      <c r="I5" s="15"/>
      <c r="J5" s="14"/>
      <c r="K5" s="25"/>
      <c r="L5" s="25"/>
      <c r="M5" s="1"/>
      <c r="N5" s="1"/>
      <c r="O5" s="1"/>
      <c r="P5" s="14"/>
      <c r="Q5" s="14"/>
      <c r="R5" s="28"/>
      <c r="S5" s="28"/>
      <c r="T5" s="25"/>
      <c r="U5" s="1"/>
      <c r="V5" s="28"/>
      <c r="W5" s="14"/>
      <c r="X5" s="14"/>
      <c r="Y5" s="1"/>
      <c r="Z5" s="1"/>
      <c r="AA5" s="28"/>
      <c r="AB5" s="28"/>
      <c r="AC5" s="28"/>
      <c r="AD5" s="94"/>
      <c r="AE5" s="96"/>
    </row>
    <row r="6" spans="1:31" ht="15" customHeight="1">
      <c r="A6" s="11" t="s">
        <v>1</v>
      </c>
      <c r="B6" s="234">
        <v>0</v>
      </c>
      <c r="C6" s="234"/>
      <c r="D6" s="18">
        <v>137938</v>
      </c>
      <c r="E6" s="18">
        <v>116407</v>
      </c>
      <c r="F6" s="18">
        <v>166961</v>
      </c>
      <c r="G6" s="18">
        <v>127264</v>
      </c>
      <c r="H6" s="18">
        <v>142741</v>
      </c>
      <c r="I6" s="237">
        <v>0</v>
      </c>
      <c r="J6" s="237"/>
      <c r="K6" s="33">
        <v>211511</v>
      </c>
      <c r="L6" s="33">
        <v>181918</v>
      </c>
      <c r="M6" s="47">
        <v>171925</v>
      </c>
      <c r="N6" s="47">
        <v>145266</v>
      </c>
      <c r="O6" s="47">
        <v>122781</v>
      </c>
      <c r="P6" s="245"/>
      <c r="Q6" s="245"/>
      <c r="R6" s="33">
        <v>161548</v>
      </c>
      <c r="S6" s="33">
        <v>124533</v>
      </c>
      <c r="T6" s="33">
        <v>160062</v>
      </c>
      <c r="U6" s="33">
        <v>121233</v>
      </c>
      <c r="V6" s="33">
        <v>126863</v>
      </c>
      <c r="W6" s="245">
        <v>0</v>
      </c>
      <c r="X6" s="245"/>
      <c r="Y6" s="47">
        <v>113021</v>
      </c>
      <c r="Z6" s="47">
        <v>124792</v>
      </c>
      <c r="AA6" s="33">
        <v>127355</v>
      </c>
      <c r="AB6" s="33">
        <v>113775</v>
      </c>
      <c r="AC6" s="33">
        <v>118495</v>
      </c>
      <c r="AD6" s="249">
        <v>0</v>
      </c>
      <c r="AE6" s="250"/>
    </row>
    <row r="7" spans="1:31" ht="15">
      <c r="A7" s="12"/>
      <c r="B7" s="44"/>
      <c r="C7" s="44"/>
      <c r="D7" s="19"/>
      <c r="E7" s="19"/>
      <c r="F7" s="19"/>
      <c r="G7" s="19"/>
      <c r="H7" s="19"/>
      <c r="I7" s="46"/>
      <c r="J7" s="44"/>
      <c r="K7" s="32"/>
      <c r="L7" s="32"/>
      <c r="M7" s="31"/>
      <c r="N7" s="31"/>
      <c r="O7" s="31"/>
      <c r="P7" s="35"/>
      <c r="Q7" s="14"/>
      <c r="R7" s="28"/>
      <c r="S7" s="28"/>
      <c r="T7" s="32"/>
      <c r="U7" s="31"/>
      <c r="V7" s="28"/>
      <c r="W7" s="35"/>
      <c r="X7" s="14"/>
      <c r="Y7" s="31"/>
      <c r="Z7" s="31"/>
      <c r="AA7" s="28"/>
      <c r="AB7" s="28"/>
      <c r="AC7" s="28"/>
      <c r="AD7" s="97"/>
      <c r="AE7" s="96"/>
    </row>
    <row r="8" spans="1:31" ht="15" customHeight="1">
      <c r="A8" s="12" t="s">
        <v>2</v>
      </c>
      <c r="B8" s="234">
        <v>40048</v>
      </c>
      <c r="C8" s="234"/>
      <c r="D8" s="18">
        <v>24860</v>
      </c>
      <c r="E8" s="18">
        <v>37398</v>
      </c>
      <c r="F8" s="18">
        <v>27517</v>
      </c>
      <c r="G8" s="18">
        <v>45126</v>
      </c>
      <c r="H8" s="18">
        <v>35050</v>
      </c>
      <c r="I8" s="237">
        <v>41883</v>
      </c>
      <c r="J8" s="237"/>
      <c r="K8" s="33">
        <v>25969</v>
      </c>
      <c r="L8" s="33">
        <v>78605</v>
      </c>
      <c r="M8" s="47">
        <v>95091</v>
      </c>
      <c r="N8" s="47">
        <v>99306</v>
      </c>
      <c r="O8" s="47">
        <v>83370</v>
      </c>
      <c r="P8" s="245">
        <v>42778</v>
      </c>
      <c r="Q8" s="245"/>
      <c r="R8" s="33">
        <v>28512</v>
      </c>
      <c r="S8" s="33">
        <v>51568</v>
      </c>
      <c r="T8" s="33">
        <v>48720</v>
      </c>
      <c r="U8" s="47">
        <v>53765</v>
      </c>
      <c r="V8" s="33">
        <v>35584</v>
      </c>
      <c r="W8" s="245">
        <v>47773</v>
      </c>
      <c r="X8" s="245"/>
      <c r="Y8" s="33">
        <v>30567</v>
      </c>
      <c r="Z8" s="33">
        <v>30622</v>
      </c>
      <c r="AA8" s="33">
        <v>32248</v>
      </c>
      <c r="AB8" s="33">
        <v>31299</v>
      </c>
      <c r="AC8" s="33">
        <v>26115</v>
      </c>
      <c r="AD8" s="249"/>
      <c r="AE8" s="250"/>
    </row>
    <row r="9" spans="1:31" ht="15">
      <c r="A9" s="12"/>
      <c r="B9" s="44"/>
      <c r="C9" s="44"/>
      <c r="D9" s="19"/>
      <c r="E9" s="19"/>
      <c r="F9" s="19"/>
      <c r="G9" s="19"/>
      <c r="H9" s="19"/>
      <c r="I9" s="46"/>
      <c r="J9" s="44"/>
      <c r="K9" s="32"/>
      <c r="L9" s="32"/>
      <c r="M9" s="31"/>
      <c r="N9" s="31"/>
      <c r="O9" s="31"/>
      <c r="P9" s="35"/>
      <c r="Q9" s="14"/>
      <c r="R9" s="28"/>
      <c r="S9" s="28"/>
      <c r="T9" s="32"/>
      <c r="U9" s="31"/>
      <c r="V9" s="28"/>
      <c r="W9" s="35"/>
      <c r="X9" s="14"/>
      <c r="Y9" s="31"/>
      <c r="Z9" s="31"/>
      <c r="AA9" s="28"/>
      <c r="AB9" s="28"/>
      <c r="AC9" s="28"/>
      <c r="AD9" s="97"/>
      <c r="AE9" s="96"/>
    </row>
    <row r="10" spans="1:31" s="37" customFormat="1">
      <c r="A10" s="36" t="s">
        <v>3</v>
      </c>
      <c r="B10" s="244">
        <f>+B6+B8</f>
        <v>40048</v>
      </c>
      <c r="C10" s="244"/>
      <c r="D10" s="21">
        <f t="shared" ref="D10:AC10" si="2">+D6+D8</f>
        <v>162798</v>
      </c>
      <c r="E10" s="21">
        <f t="shared" si="2"/>
        <v>153805</v>
      </c>
      <c r="F10" s="21">
        <f t="shared" si="2"/>
        <v>194478</v>
      </c>
      <c r="G10" s="21">
        <f t="shared" si="2"/>
        <v>172390</v>
      </c>
      <c r="H10" s="21">
        <f t="shared" si="2"/>
        <v>177791</v>
      </c>
      <c r="I10" s="239">
        <f t="shared" si="2"/>
        <v>41883</v>
      </c>
      <c r="J10" s="239"/>
      <c r="K10" s="21">
        <f t="shared" si="2"/>
        <v>237480</v>
      </c>
      <c r="L10" s="21">
        <f t="shared" si="2"/>
        <v>260523</v>
      </c>
      <c r="M10" s="21">
        <f t="shared" si="2"/>
        <v>267016</v>
      </c>
      <c r="N10" s="21">
        <f t="shared" si="2"/>
        <v>244572</v>
      </c>
      <c r="O10" s="21">
        <f t="shared" si="2"/>
        <v>206151</v>
      </c>
      <c r="P10" s="244">
        <f>+P6+P8</f>
        <v>42778</v>
      </c>
      <c r="Q10" s="244"/>
      <c r="R10" s="21">
        <f t="shared" si="2"/>
        <v>190060</v>
      </c>
      <c r="S10" s="21">
        <f t="shared" si="2"/>
        <v>176101</v>
      </c>
      <c r="T10" s="21">
        <f t="shared" si="2"/>
        <v>208782</v>
      </c>
      <c r="U10" s="21">
        <f t="shared" si="2"/>
        <v>174998</v>
      </c>
      <c r="V10" s="21">
        <f t="shared" si="2"/>
        <v>162447</v>
      </c>
      <c r="W10" s="244">
        <f t="shared" si="2"/>
        <v>47773</v>
      </c>
      <c r="X10" s="244"/>
      <c r="Y10" s="21">
        <f t="shared" si="2"/>
        <v>143588</v>
      </c>
      <c r="Z10" s="21">
        <f t="shared" si="2"/>
        <v>155414</v>
      </c>
      <c r="AA10" s="21">
        <f t="shared" si="2"/>
        <v>159603</v>
      </c>
      <c r="AB10" s="21">
        <f t="shared" si="2"/>
        <v>145074</v>
      </c>
      <c r="AC10" s="21">
        <f t="shared" si="2"/>
        <v>144610</v>
      </c>
      <c r="AD10" s="251">
        <f>+AD6+AD8</f>
        <v>0</v>
      </c>
      <c r="AE10" s="252"/>
    </row>
    <row r="11" spans="1:31" ht="13.5" thickBot="1">
      <c r="A11" s="13"/>
      <c r="B11" s="16"/>
      <c r="C11" s="16"/>
      <c r="D11" s="7"/>
      <c r="E11" s="7"/>
      <c r="F11" s="7"/>
      <c r="G11" s="7"/>
      <c r="H11" s="7"/>
      <c r="I11" s="17"/>
      <c r="J11" s="16"/>
      <c r="K11" s="42"/>
      <c r="L11" s="42"/>
      <c r="M11" s="7"/>
      <c r="N11" s="7"/>
      <c r="O11" s="7"/>
      <c r="P11" s="16"/>
      <c r="Q11" s="16"/>
      <c r="R11" s="29"/>
      <c r="S11" s="29"/>
      <c r="T11" s="7"/>
      <c r="U11" s="7"/>
      <c r="V11" s="29"/>
      <c r="W11" s="16"/>
      <c r="X11" s="16"/>
      <c r="Y11" s="7"/>
      <c r="Z11" s="7"/>
      <c r="AA11" s="29"/>
      <c r="AB11" s="29"/>
      <c r="AC11" s="29"/>
      <c r="AD11" s="16"/>
      <c r="AE11" s="93"/>
    </row>
    <row r="13" spans="1:31">
      <c r="V13" s="23"/>
    </row>
    <row r="14" spans="1:31">
      <c r="P14" s="2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</row>
    <row r="15" spans="1:31">
      <c r="E15" s="34"/>
      <c r="K15" s="40"/>
      <c r="L15" s="40"/>
      <c r="M15" s="40"/>
      <c r="N15" s="40"/>
      <c r="O15" s="40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</row>
    <row r="16" spans="1:31">
      <c r="T16" s="133"/>
      <c r="U16" s="133"/>
      <c r="V16" s="133"/>
      <c r="W16" s="133"/>
      <c r="X16" s="133"/>
      <c r="Y16" s="133"/>
      <c r="Z16" s="133"/>
      <c r="AA16" s="133"/>
      <c r="AB16" s="133"/>
      <c r="AC16" s="133"/>
    </row>
    <row r="17" spans="8:29">
      <c r="T17" s="133"/>
      <c r="U17" s="133"/>
      <c r="V17" s="133"/>
      <c r="W17" s="133"/>
      <c r="X17" s="133"/>
      <c r="Y17" s="133"/>
      <c r="Z17" s="133"/>
      <c r="AA17" s="133"/>
      <c r="AB17" s="133"/>
      <c r="AC17" s="133"/>
    </row>
    <row r="20" spans="8:29">
      <c r="H20" s="22"/>
    </row>
  </sheetData>
  <mergeCells count="15">
    <mergeCell ref="B10:C10"/>
    <mergeCell ref="I10:J10"/>
    <mergeCell ref="W10:X10"/>
    <mergeCell ref="AD10:AE10"/>
    <mergeCell ref="P6:Q6"/>
    <mergeCell ref="P8:Q8"/>
    <mergeCell ref="P10:Q10"/>
    <mergeCell ref="B6:C6"/>
    <mergeCell ref="I6:J6"/>
    <mergeCell ref="W6:X6"/>
    <mergeCell ref="AD6:AE6"/>
    <mergeCell ref="B8:C8"/>
    <mergeCell ref="I8:J8"/>
    <mergeCell ref="W8:X8"/>
    <mergeCell ref="AD8:AE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baseColWidth="10" defaultRowHeight="12.75"/>
  <cols>
    <col min="2" max="2" width="7.5703125" bestFit="1" customWidth="1"/>
    <col min="3" max="3" width="6.5703125" bestFit="1" customWidth="1"/>
    <col min="4" max="9" width="7.5703125" bestFit="1" customWidth="1"/>
    <col min="10" max="10" width="6.5703125" bestFit="1" customWidth="1"/>
    <col min="11" max="11" width="7.42578125" bestFit="1" customWidth="1"/>
    <col min="12" max="16" width="7.5703125" bestFit="1" customWidth="1"/>
    <col min="17" max="17" width="6.5703125" bestFit="1" customWidth="1"/>
    <col min="18" max="19" width="7.5703125" bestFit="1" customWidth="1"/>
    <col min="20" max="20" width="7.85546875" customWidth="1"/>
    <col min="21" max="23" width="7.5703125" bestFit="1" customWidth="1"/>
    <col min="24" max="24" width="6.5703125" bestFit="1" customWidth="1"/>
    <col min="25" max="29" width="7.5703125" bestFit="1" customWidth="1"/>
    <col min="30" max="31" width="7.85546875" customWidth="1"/>
    <col min="32" max="32" width="7.5703125" bestFit="1" customWidth="1"/>
  </cols>
  <sheetData>
    <row r="1" spans="1:32">
      <c r="A1" s="2"/>
      <c r="B1" s="5">
        <v>45717</v>
      </c>
      <c r="C1" s="24">
        <f t="shared" ref="C1:P2" si="0">+B1+1</f>
        <v>45718</v>
      </c>
      <c r="D1" s="24">
        <f t="shared" si="0"/>
        <v>45719</v>
      </c>
      <c r="E1" s="24">
        <f t="shared" si="0"/>
        <v>45720</v>
      </c>
      <c r="F1" s="24">
        <f t="shared" si="0"/>
        <v>45721</v>
      </c>
      <c r="G1" s="24">
        <f t="shared" si="0"/>
        <v>45722</v>
      </c>
      <c r="H1" s="24">
        <f t="shared" si="0"/>
        <v>45723</v>
      </c>
      <c r="I1" s="24">
        <f t="shared" si="0"/>
        <v>45724</v>
      </c>
      <c r="J1" s="24">
        <f t="shared" si="0"/>
        <v>45725</v>
      </c>
      <c r="K1" s="24">
        <f t="shared" si="0"/>
        <v>45726</v>
      </c>
      <c r="L1" s="24">
        <f t="shared" si="0"/>
        <v>45727</v>
      </c>
      <c r="M1" s="24">
        <f t="shared" si="0"/>
        <v>45728</v>
      </c>
      <c r="N1" s="24">
        <f t="shared" si="0"/>
        <v>45729</v>
      </c>
      <c r="O1" s="24">
        <f t="shared" si="0"/>
        <v>45730</v>
      </c>
      <c r="P1" s="24">
        <f t="shared" si="0"/>
        <v>45731</v>
      </c>
      <c r="Q1" s="24">
        <f t="shared" ref="Q1:AF2" si="1">+P1+1</f>
        <v>45732</v>
      </c>
      <c r="R1" s="24">
        <f t="shared" si="1"/>
        <v>45733</v>
      </c>
      <c r="S1" s="24">
        <f t="shared" si="1"/>
        <v>45734</v>
      </c>
      <c r="T1" s="24">
        <f t="shared" si="1"/>
        <v>45735</v>
      </c>
      <c r="U1" s="24">
        <f t="shared" si="1"/>
        <v>45736</v>
      </c>
      <c r="V1" s="24">
        <f t="shared" si="1"/>
        <v>45737</v>
      </c>
      <c r="W1" s="24">
        <f t="shared" si="1"/>
        <v>45738</v>
      </c>
      <c r="X1" s="24">
        <f t="shared" si="1"/>
        <v>45739</v>
      </c>
      <c r="Y1" s="24">
        <f t="shared" si="1"/>
        <v>45740</v>
      </c>
      <c r="Z1" s="24">
        <f t="shared" si="1"/>
        <v>45741</v>
      </c>
      <c r="AA1" s="24">
        <f t="shared" si="1"/>
        <v>45742</v>
      </c>
      <c r="AB1" s="24">
        <f t="shared" si="1"/>
        <v>45743</v>
      </c>
      <c r="AC1" s="24">
        <f t="shared" si="1"/>
        <v>45744</v>
      </c>
      <c r="AD1" s="88">
        <f t="shared" si="1"/>
        <v>45745</v>
      </c>
      <c r="AE1" s="88">
        <f t="shared" si="1"/>
        <v>45746</v>
      </c>
      <c r="AF1" s="38">
        <f t="shared" si="1"/>
        <v>45747</v>
      </c>
    </row>
    <row r="2" spans="1:32">
      <c r="A2" s="4"/>
      <c r="B2" s="5">
        <v>45717</v>
      </c>
      <c r="C2" s="5">
        <f t="shared" si="0"/>
        <v>45718</v>
      </c>
      <c r="D2" s="5">
        <f t="shared" si="0"/>
        <v>45719</v>
      </c>
      <c r="E2" s="5">
        <f t="shared" si="0"/>
        <v>45720</v>
      </c>
      <c r="F2" s="5">
        <f t="shared" si="0"/>
        <v>45721</v>
      </c>
      <c r="G2" s="5">
        <f t="shared" si="0"/>
        <v>45722</v>
      </c>
      <c r="H2" s="5">
        <f t="shared" si="0"/>
        <v>45723</v>
      </c>
      <c r="I2" s="5">
        <f t="shared" si="0"/>
        <v>45724</v>
      </c>
      <c r="J2" s="5">
        <f t="shared" si="0"/>
        <v>45725</v>
      </c>
      <c r="K2" s="5">
        <f t="shared" si="0"/>
        <v>45726</v>
      </c>
      <c r="L2" s="5">
        <f t="shared" si="0"/>
        <v>45727</v>
      </c>
      <c r="M2" s="5">
        <f t="shared" si="0"/>
        <v>45728</v>
      </c>
      <c r="N2" s="5">
        <f t="shared" si="0"/>
        <v>45729</v>
      </c>
      <c r="O2" s="5">
        <f t="shared" si="0"/>
        <v>45730</v>
      </c>
      <c r="P2" s="5">
        <f t="shared" si="0"/>
        <v>45731</v>
      </c>
      <c r="Q2" s="5">
        <f t="shared" si="1"/>
        <v>45732</v>
      </c>
      <c r="R2" s="5">
        <f t="shared" si="1"/>
        <v>45733</v>
      </c>
      <c r="S2" s="5">
        <f t="shared" si="1"/>
        <v>45734</v>
      </c>
      <c r="T2" s="5">
        <f t="shared" si="1"/>
        <v>45735</v>
      </c>
      <c r="U2" s="5">
        <f t="shared" si="1"/>
        <v>45736</v>
      </c>
      <c r="V2" s="5">
        <f t="shared" si="1"/>
        <v>45737</v>
      </c>
      <c r="W2" s="5">
        <f t="shared" si="1"/>
        <v>45738</v>
      </c>
      <c r="X2" s="5">
        <f t="shared" si="1"/>
        <v>45739</v>
      </c>
      <c r="Y2" s="5">
        <f t="shared" si="1"/>
        <v>45740</v>
      </c>
      <c r="Z2" s="5">
        <f t="shared" si="1"/>
        <v>45741</v>
      </c>
      <c r="AA2" s="5">
        <f t="shared" si="1"/>
        <v>45742</v>
      </c>
      <c r="AB2" s="5">
        <f t="shared" si="1"/>
        <v>45743</v>
      </c>
      <c r="AC2" s="5">
        <f t="shared" si="1"/>
        <v>45744</v>
      </c>
      <c r="AD2" s="89">
        <f t="shared" si="1"/>
        <v>45745</v>
      </c>
      <c r="AE2" s="89">
        <f t="shared" si="1"/>
        <v>45746</v>
      </c>
      <c r="AF2" s="39">
        <f t="shared" si="1"/>
        <v>45747</v>
      </c>
    </row>
    <row r="3" spans="1:32" ht="13.5" thickBot="1">
      <c r="A3" s="6"/>
      <c r="B3" s="16"/>
      <c r="C3" s="16"/>
      <c r="D3" s="16"/>
      <c r="E3" s="16"/>
      <c r="F3" s="7"/>
      <c r="G3" s="7"/>
      <c r="H3" s="7"/>
      <c r="I3" s="16"/>
      <c r="J3" s="16"/>
      <c r="K3" s="42"/>
      <c r="L3" s="42"/>
      <c r="M3" s="7"/>
      <c r="N3" s="7"/>
      <c r="O3" s="7"/>
      <c r="P3" s="16"/>
      <c r="Q3" s="16"/>
      <c r="R3" s="42"/>
      <c r="S3" s="7"/>
      <c r="T3" s="7"/>
      <c r="U3" s="7"/>
      <c r="V3" s="7"/>
      <c r="W3" s="16"/>
      <c r="X3" s="16"/>
      <c r="Y3" s="16"/>
      <c r="Z3" s="7"/>
      <c r="AA3" s="7"/>
      <c r="AB3" s="7"/>
      <c r="AC3" s="7"/>
      <c r="AD3" s="16"/>
      <c r="AE3" s="16"/>
      <c r="AF3" s="56"/>
    </row>
    <row r="4" spans="1:32" ht="15">
      <c r="A4" s="9" t="s">
        <v>0</v>
      </c>
      <c r="B4" s="253"/>
      <c r="C4" s="253"/>
      <c r="D4" s="253"/>
      <c r="E4" s="253"/>
      <c r="F4" s="1"/>
      <c r="G4" s="1"/>
      <c r="H4" s="1"/>
      <c r="I4" s="55"/>
      <c r="J4" s="41"/>
      <c r="K4" s="25"/>
      <c r="L4" s="25"/>
      <c r="M4" s="1"/>
      <c r="N4" s="1"/>
      <c r="O4" s="1"/>
      <c r="P4" s="14"/>
      <c r="Q4" s="41"/>
      <c r="R4" s="30"/>
      <c r="S4" s="30"/>
      <c r="T4" s="1"/>
      <c r="U4" s="1"/>
      <c r="V4" s="30"/>
      <c r="W4" s="14"/>
      <c r="X4" s="41"/>
      <c r="Y4" s="14"/>
      <c r="Z4" s="1"/>
      <c r="AA4" s="30"/>
      <c r="AB4" s="30"/>
      <c r="AC4" s="30"/>
      <c r="AD4" s="94"/>
      <c r="AE4" s="41"/>
      <c r="AF4" s="57"/>
    </row>
    <row r="5" spans="1:32" ht="15">
      <c r="A5" s="10"/>
      <c r="B5" s="14"/>
      <c r="C5" s="14"/>
      <c r="D5" s="14"/>
      <c r="E5" s="14"/>
      <c r="F5" s="1"/>
      <c r="G5" s="1"/>
      <c r="H5" s="1"/>
      <c r="I5" s="15"/>
      <c r="J5" s="14"/>
      <c r="K5" s="32"/>
      <c r="L5" s="32"/>
      <c r="M5" s="31"/>
      <c r="N5" s="31"/>
      <c r="O5" s="31"/>
      <c r="P5" s="35"/>
      <c r="Q5" s="35"/>
      <c r="R5" s="28"/>
      <c r="S5" s="28"/>
      <c r="T5" s="25"/>
      <c r="U5" s="1"/>
      <c r="V5" s="28"/>
      <c r="W5" s="14"/>
      <c r="X5" s="14"/>
      <c r="Y5" s="14"/>
      <c r="Z5" s="1"/>
      <c r="AA5" s="28"/>
      <c r="AB5" s="28"/>
      <c r="AC5" s="28"/>
      <c r="AD5" s="94"/>
      <c r="AE5" s="94"/>
      <c r="AF5" s="58"/>
    </row>
    <row r="6" spans="1:32" ht="15" customHeight="1">
      <c r="A6" s="11" t="s">
        <v>1</v>
      </c>
      <c r="B6" s="234">
        <v>211137</v>
      </c>
      <c r="C6" s="234"/>
      <c r="D6" s="234"/>
      <c r="E6" s="234"/>
      <c r="F6" s="18">
        <v>95107</v>
      </c>
      <c r="G6" s="18">
        <v>93236</v>
      </c>
      <c r="H6" s="18">
        <v>119700</v>
      </c>
      <c r="I6" s="237">
        <v>0</v>
      </c>
      <c r="J6" s="237"/>
      <c r="K6" s="33">
        <v>161927</v>
      </c>
      <c r="L6" s="33">
        <v>119567</v>
      </c>
      <c r="M6" s="47">
        <v>146840</v>
      </c>
      <c r="N6" s="47">
        <v>115268</v>
      </c>
      <c r="O6" s="47">
        <v>149986</v>
      </c>
      <c r="P6" s="245">
        <v>0</v>
      </c>
      <c r="Q6" s="245"/>
      <c r="R6" s="33">
        <v>156941</v>
      </c>
      <c r="S6" s="33">
        <v>117897</v>
      </c>
      <c r="T6" s="33">
        <v>142064</v>
      </c>
      <c r="U6" s="33">
        <v>243770</v>
      </c>
      <c r="V6" s="33">
        <v>168476</v>
      </c>
      <c r="W6" s="245">
        <v>181581</v>
      </c>
      <c r="X6" s="245"/>
      <c r="Y6" s="245"/>
      <c r="Z6" s="47">
        <v>101998</v>
      </c>
      <c r="AA6" s="33">
        <v>136139</v>
      </c>
      <c r="AB6" s="33">
        <v>101368</v>
      </c>
      <c r="AC6" s="33">
        <v>134544</v>
      </c>
      <c r="AD6" s="249">
        <v>0</v>
      </c>
      <c r="AE6" s="249"/>
      <c r="AF6" s="59">
        <v>190774</v>
      </c>
    </row>
    <row r="7" spans="1:32" ht="15">
      <c r="A7" s="12"/>
      <c r="B7" s="44"/>
      <c r="C7" s="44"/>
      <c r="D7" s="44"/>
      <c r="E7" s="44"/>
      <c r="F7" s="19"/>
      <c r="G7" s="19"/>
      <c r="H7" s="19"/>
      <c r="I7" s="46"/>
      <c r="J7" s="44"/>
      <c r="K7" s="32"/>
      <c r="L7" s="32"/>
      <c r="M7" s="31"/>
      <c r="N7" s="31"/>
      <c r="O7" s="31"/>
      <c r="P7" s="35"/>
      <c r="Q7" s="35"/>
      <c r="R7" s="28"/>
      <c r="S7" s="28"/>
      <c r="T7" s="32"/>
      <c r="U7" s="31"/>
      <c r="V7" s="28"/>
      <c r="W7" s="35"/>
      <c r="X7" s="14"/>
      <c r="Y7" s="35"/>
      <c r="Z7" s="31"/>
      <c r="AA7" s="28"/>
      <c r="AB7" s="28"/>
      <c r="AC7" s="28"/>
      <c r="AD7" s="97"/>
      <c r="AE7" s="94"/>
      <c r="AF7" s="58"/>
    </row>
    <row r="8" spans="1:32" ht="15" customHeight="1">
      <c r="A8" s="12" t="s">
        <v>2</v>
      </c>
      <c r="B8" s="234">
        <v>51972</v>
      </c>
      <c r="C8" s="234"/>
      <c r="D8" s="234"/>
      <c r="E8" s="234"/>
      <c r="F8" s="18">
        <v>33549</v>
      </c>
      <c r="G8" s="18">
        <v>22054</v>
      </c>
      <c r="H8" s="18">
        <v>20406</v>
      </c>
      <c r="I8" s="237">
        <v>36466</v>
      </c>
      <c r="J8" s="237"/>
      <c r="K8" s="33">
        <v>23439</v>
      </c>
      <c r="L8" s="33">
        <v>38026</v>
      </c>
      <c r="M8" s="47">
        <v>22150</v>
      </c>
      <c r="N8" s="47">
        <v>43307</v>
      </c>
      <c r="O8" s="47">
        <v>37197</v>
      </c>
      <c r="P8" s="245">
        <v>48086</v>
      </c>
      <c r="Q8" s="245"/>
      <c r="R8" s="33">
        <v>36630</v>
      </c>
      <c r="S8" s="33">
        <v>59641</v>
      </c>
      <c r="T8" s="33">
        <v>39679</v>
      </c>
      <c r="U8" s="47">
        <v>47690</v>
      </c>
      <c r="V8" s="33">
        <v>62769</v>
      </c>
      <c r="W8" s="245">
        <v>32758</v>
      </c>
      <c r="X8" s="245"/>
      <c r="Y8" s="245"/>
      <c r="Z8" s="33">
        <v>102611</v>
      </c>
      <c r="AA8" s="33">
        <v>64565</v>
      </c>
      <c r="AB8" s="33">
        <v>71406</v>
      </c>
      <c r="AC8" s="33">
        <v>40385</v>
      </c>
      <c r="AD8" s="249">
        <v>33982</v>
      </c>
      <c r="AE8" s="249"/>
      <c r="AF8" s="59">
        <v>23350</v>
      </c>
    </row>
    <row r="9" spans="1:32" ht="15">
      <c r="A9" s="12"/>
      <c r="B9" s="44"/>
      <c r="C9" s="44"/>
      <c r="D9" s="44"/>
      <c r="E9" s="44"/>
      <c r="F9" s="19"/>
      <c r="G9" s="19"/>
      <c r="H9" s="19"/>
      <c r="I9" s="46"/>
      <c r="J9" s="44"/>
      <c r="K9" s="32"/>
      <c r="L9" s="32"/>
      <c r="M9" s="31"/>
      <c r="N9" s="31"/>
      <c r="O9" s="31"/>
      <c r="P9" s="35"/>
      <c r="Q9" s="35"/>
      <c r="R9" s="28"/>
      <c r="S9" s="28"/>
      <c r="T9" s="32"/>
      <c r="U9" s="31"/>
      <c r="V9" s="28"/>
      <c r="W9" s="35"/>
      <c r="X9" s="14"/>
      <c r="Y9" s="35"/>
      <c r="Z9" s="31"/>
      <c r="AA9" s="28"/>
      <c r="AB9" s="28"/>
      <c r="AC9" s="28"/>
      <c r="AD9" s="97"/>
      <c r="AE9" s="94"/>
      <c r="AF9" s="58"/>
    </row>
    <row r="10" spans="1:32" s="37" customFormat="1">
      <c r="A10" s="36" t="s">
        <v>3</v>
      </c>
      <c r="B10" s="244">
        <f>+B6+B8</f>
        <v>263109</v>
      </c>
      <c r="C10" s="244"/>
      <c r="D10" s="244"/>
      <c r="E10" s="244"/>
      <c r="F10" s="21">
        <f t="shared" ref="F10:AC10" si="2">+F6+F8</f>
        <v>128656</v>
      </c>
      <c r="G10" s="21">
        <f t="shared" si="2"/>
        <v>115290</v>
      </c>
      <c r="H10" s="21">
        <f t="shared" si="2"/>
        <v>140106</v>
      </c>
      <c r="I10" s="239">
        <f t="shared" si="2"/>
        <v>36466</v>
      </c>
      <c r="J10" s="239"/>
      <c r="K10" s="21">
        <f t="shared" si="2"/>
        <v>185366</v>
      </c>
      <c r="L10" s="21">
        <f t="shared" si="2"/>
        <v>157593</v>
      </c>
      <c r="M10" s="21">
        <f t="shared" si="2"/>
        <v>168990</v>
      </c>
      <c r="N10" s="21">
        <f t="shared" si="2"/>
        <v>158575</v>
      </c>
      <c r="O10" s="21">
        <f t="shared" si="2"/>
        <v>187183</v>
      </c>
      <c r="P10" s="244">
        <f t="shared" si="2"/>
        <v>48086</v>
      </c>
      <c r="Q10" s="244"/>
      <c r="R10" s="21">
        <f t="shared" si="2"/>
        <v>193571</v>
      </c>
      <c r="S10" s="21">
        <f t="shared" si="2"/>
        <v>177538</v>
      </c>
      <c r="T10" s="21">
        <f t="shared" si="2"/>
        <v>181743</v>
      </c>
      <c r="U10" s="21">
        <f t="shared" si="2"/>
        <v>291460</v>
      </c>
      <c r="V10" s="21">
        <f t="shared" si="2"/>
        <v>231245</v>
      </c>
      <c r="W10" s="244">
        <f t="shared" si="2"/>
        <v>214339</v>
      </c>
      <c r="X10" s="244"/>
      <c r="Y10" s="244"/>
      <c r="Z10" s="21">
        <f t="shared" si="2"/>
        <v>204609</v>
      </c>
      <c r="AA10" s="21">
        <f t="shared" si="2"/>
        <v>200704</v>
      </c>
      <c r="AB10" s="21">
        <f t="shared" si="2"/>
        <v>172774</v>
      </c>
      <c r="AC10" s="21">
        <f t="shared" si="2"/>
        <v>174929</v>
      </c>
      <c r="AD10" s="251">
        <f>+AD6+AD8</f>
        <v>33982</v>
      </c>
      <c r="AE10" s="251"/>
      <c r="AF10" s="60">
        <f>+AF6+AF8</f>
        <v>214124</v>
      </c>
    </row>
    <row r="11" spans="1:32" ht="13.5" thickBot="1">
      <c r="A11" s="13"/>
      <c r="B11" s="16"/>
      <c r="C11" s="16"/>
      <c r="D11" s="16"/>
      <c r="E11" s="16"/>
      <c r="F11" s="7"/>
      <c r="G11" s="7"/>
      <c r="H11" s="7"/>
      <c r="I11" s="17"/>
      <c r="J11" s="16"/>
      <c r="K11" s="42"/>
      <c r="L11" s="42"/>
      <c r="M11" s="7"/>
      <c r="N11" s="7"/>
      <c r="O11" s="7"/>
      <c r="P11" s="16"/>
      <c r="Q11" s="16"/>
      <c r="R11" s="29"/>
      <c r="S11" s="29"/>
      <c r="T11" s="7"/>
      <c r="U11" s="7"/>
      <c r="V11" s="29"/>
      <c r="W11" s="16"/>
      <c r="X11" s="16"/>
      <c r="Y11" s="16"/>
      <c r="Z11" s="7"/>
      <c r="AA11" s="29"/>
      <c r="AB11" s="29"/>
      <c r="AC11" s="29"/>
      <c r="AD11" s="16"/>
      <c r="AE11" s="16"/>
      <c r="AF11" s="61"/>
    </row>
    <row r="13" spans="1:32">
      <c r="V13" s="23"/>
    </row>
    <row r="14" spans="1:32">
      <c r="P14" s="2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F14" s="133"/>
    </row>
    <row r="15" spans="1:32">
      <c r="E15" s="34"/>
      <c r="K15" s="40"/>
      <c r="L15" s="40"/>
      <c r="M15" s="40"/>
      <c r="N15" s="40"/>
      <c r="O15" s="40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F15" s="134"/>
    </row>
    <row r="16" spans="1:32"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F16" s="133"/>
    </row>
    <row r="17" spans="8:32"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F17" s="133"/>
    </row>
    <row r="20" spans="8:32">
      <c r="H20" s="22"/>
    </row>
  </sheetData>
  <mergeCells count="16">
    <mergeCell ref="AD10:AE10"/>
    <mergeCell ref="B4:E4"/>
    <mergeCell ref="B6:E6"/>
    <mergeCell ref="B8:E8"/>
    <mergeCell ref="B10:E10"/>
    <mergeCell ref="P8:Q8"/>
    <mergeCell ref="I6:J6"/>
    <mergeCell ref="AD6:AE6"/>
    <mergeCell ref="I8:J8"/>
    <mergeCell ref="AD8:AE8"/>
    <mergeCell ref="P10:Q10"/>
    <mergeCell ref="W10:Y10"/>
    <mergeCell ref="W8:Y8"/>
    <mergeCell ref="W6:Y6"/>
    <mergeCell ref="P6:Q6"/>
    <mergeCell ref="I10:J10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6" sqref="B6"/>
    </sheetView>
  </sheetViews>
  <sheetFormatPr baseColWidth="10" defaultRowHeight="12.75"/>
  <cols>
    <col min="1" max="1" width="11.42578125" style="146"/>
    <col min="2" max="6" width="7.5703125" bestFit="1" customWidth="1"/>
    <col min="7" max="7" width="6.5703125" bestFit="1" customWidth="1"/>
    <col min="8" max="8" width="9" bestFit="1" customWidth="1"/>
    <col min="9" max="13" width="7.5703125" bestFit="1" customWidth="1"/>
    <col min="14" max="14" width="6.5703125" bestFit="1" customWidth="1"/>
    <col min="15" max="16" width="7.5703125" bestFit="1" customWidth="1"/>
    <col min="17" max="17" width="7.85546875" customWidth="1"/>
    <col min="18" max="20" width="7.5703125" bestFit="1" customWidth="1"/>
    <col min="21" max="21" width="6.5703125" bestFit="1" customWidth="1"/>
    <col min="22" max="24" width="7.5703125" bestFit="1" customWidth="1"/>
    <col min="25" max="25" width="6.5703125" bestFit="1" customWidth="1"/>
    <col min="26" max="32" width="7.5703125" bestFit="1" customWidth="1"/>
  </cols>
  <sheetData>
    <row r="1" spans="1:32">
      <c r="A1" s="137"/>
      <c r="B1" s="24">
        <v>45748</v>
      </c>
      <c r="C1" s="24">
        <f t="shared" ref="C1:R2" si="0">+B1+1</f>
        <v>45749</v>
      </c>
      <c r="D1" s="24">
        <f t="shared" si="0"/>
        <v>45750</v>
      </c>
      <c r="E1" s="24">
        <f t="shared" si="0"/>
        <v>45751</v>
      </c>
      <c r="F1" s="24">
        <f t="shared" si="0"/>
        <v>45752</v>
      </c>
      <c r="G1" s="24">
        <f t="shared" si="0"/>
        <v>45753</v>
      </c>
      <c r="H1" s="24">
        <f t="shared" si="0"/>
        <v>45754</v>
      </c>
      <c r="I1" s="24">
        <f t="shared" si="0"/>
        <v>45755</v>
      </c>
      <c r="J1" s="24">
        <f t="shared" si="0"/>
        <v>45756</v>
      </c>
      <c r="K1" s="24">
        <f t="shared" si="0"/>
        <v>45757</v>
      </c>
      <c r="L1" s="24">
        <f t="shared" si="0"/>
        <v>45758</v>
      </c>
      <c r="M1" s="24">
        <f t="shared" si="0"/>
        <v>45759</v>
      </c>
      <c r="N1" s="24">
        <f t="shared" si="0"/>
        <v>45760</v>
      </c>
      <c r="O1" s="24">
        <f t="shared" si="0"/>
        <v>45761</v>
      </c>
      <c r="P1" s="24">
        <f t="shared" si="0"/>
        <v>45762</v>
      </c>
      <c r="Q1" s="24">
        <f t="shared" si="0"/>
        <v>45763</v>
      </c>
      <c r="R1" s="24">
        <f t="shared" si="0"/>
        <v>45764</v>
      </c>
      <c r="S1" s="24">
        <f t="shared" ref="R1:AF2" si="1">+R1+1</f>
        <v>45765</v>
      </c>
      <c r="T1" s="24">
        <f t="shared" si="1"/>
        <v>45766</v>
      </c>
      <c r="U1" s="24">
        <f t="shared" si="1"/>
        <v>45767</v>
      </c>
      <c r="V1" s="24">
        <f t="shared" si="1"/>
        <v>45768</v>
      </c>
      <c r="W1" s="24">
        <f t="shared" si="1"/>
        <v>45769</v>
      </c>
      <c r="X1" s="24">
        <f t="shared" si="1"/>
        <v>45770</v>
      </c>
      <c r="Y1" s="88">
        <f t="shared" si="1"/>
        <v>45771</v>
      </c>
      <c r="Z1" s="88">
        <f t="shared" si="1"/>
        <v>45772</v>
      </c>
      <c r="AA1" s="88">
        <f t="shared" si="1"/>
        <v>45773</v>
      </c>
      <c r="AB1" s="88">
        <f t="shared" si="1"/>
        <v>45774</v>
      </c>
      <c r="AC1" s="88">
        <f t="shared" si="1"/>
        <v>45775</v>
      </c>
      <c r="AD1" s="88">
        <f t="shared" si="1"/>
        <v>45776</v>
      </c>
      <c r="AE1" s="88">
        <f t="shared" si="1"/>
        <v>45777</v>
      </c>
      <c r="AF1" s="88">
        <f t="shared" si="1"/>
        <v>45778</v>
      </c>
    </row>
    <row r="2" spans="1:32">
      <c r="A2" s="138"/>
      <c r="B2" s="5">
        <v>45748</v>
      </c>
      <c r="C2" s="5">
        <f t="shared" si="0"/>
        <v>45749</v>
      </c>
      <c r="D2" s="5">
        <f t="shared" si="0"/>
        <v>45750</v>
      </c>
      <c r="E2" s="5">
        <f t="shared" si="0"/>
        <v>45751</v>
      </c>
      <c r="F2" s="5">
        <f t="shared" si="0"/>
        <v>45752</v>
      </c>
      <c r="G2" s="5">
        <f t="shared" si="0"/>
        <v>45753</v>
      </c>
      <c r="H2" s="5">
        <f t="shared" si="0"/>
        <v>45754</v>
      </c>
      <c r="I2" s="5">
        <f t="shared" si="0"/>
        <v>45755</v>
      </c>
      <c r="J2" s="5">
        <f t="shared" si="0"/>
        <v>45756</v>
      </c>
      <c r="K2" s="5">
        <f t="shared" si="0"/>
        <v>45757</v>
      </c>
      <c r="L2" s="5">
        <f t="shared" si="0"/>
        <v>45758</v>
      </c>
      <c r="M2" s="5">
        <f t="shared" si="0"/>
        <v>45759</v>
      </c>
      <c r="N2" s="5">
        <f t="shared" si="0"/>
        <v>45760</v>
      </c>
      <c r="O2" s="5">
        <f t="shared" si="0"/>
        <v>45761</v>
      </c>
      <c r="P2" s="5">
        <f t="shared" si="0"/>
        <v>45762</v>
      </c>
      <c r="Q2" s="5">
        <f t="shared" si="0"/>
        <v>45763</v>
      </c>
      <c r="R2" s="5">
        <f t="shared" si="1"/>
        <v>45764</v>
      </c>
      <c r="S2" s="5">
        <f t="shared" si="1"/>
        <v>45765</v>
      </c>
      <c r="T2" s="5">
        <f t="shared" si="1"/>
        <v>45766</v>
      </c>
      <c r="U2" s="5">
        <f t="shared" si="1"/>
        <v>45767</v>
      </c>
      <c r="V2" s="5">
        <f t="shared" si="1"/>
        <v>45768</v>
      </c>
      <c r="W2" s="5">
        <f t="shared" si="1"/>
        <v>45769</v>
      </c>
      <c r="X2" s="5">
        <f t="shared" si="1"/>
        <v>45770</v>
      </c>
      <c r="Y2" s="89">
        <f t="shared" si="1"/>
        <v>45771</v>
      </c>
      <c r="Z2" s="89">
        <f t="shared" si="1"/>
        <v>45772</v>
      </c>
      <c r="AA2" s="89">
        <f t="shared" si="1"/>
        <v>45773</v>
      </c>
      <c r="AB2" s="89">
        <f t="shared" si="1"/>
        <v>45774</v>
      </c>
      <c r="AC2" s="89">
        <f t="shared" si="1"/>
        <v>45775</v>
      </c>
      <c r="AD2" s="89">
        <f t="shared" si="1"/>
        <v>45776</v>
      </c>
      <c r="AE2" s="89">
        <f t="shared" si="1"/>
        <v>45777</v>
      </c>
      <c r="AF2" s="89">
        <f t="shared" si="1"/>
        <v>45778</v>
      </c>
    </row>
    <row r="3" spans="1:32" ht="13.5" thickBot="1">
      <c r="A3" s="139"/>
      <c r="B3" s="7"/>
      <c r="C3" s="7"/>
      <c r="D3" s="7"/>
      <c r="E3" s="7"/>
      <c r="F3" s="16"/>
      <c r="G3" s="16"/>
      <c r="H3" s="42"/>
      <c r="I3" s="42"/>
      <c r="J3" s="7"/>
      <c r="K3" s="7"/>
      <c r="L3" s="7"/>
      <c r="M3" s="16"/>
      <c r="N3" s="16"/>
      <c r="O3" s="7"/>
      <c r="P3" s="7"/>
      <c r="Q3" s="7"/>
      <c r="R3" s="7"/>
      <c r="S3" s="16"/>
      <c r="T3" s="16"/>
      <c r="U3" s="16"/>
      <c r="V3" s="7"/>
      <c r="W3" s="7"/>
      <c r="X3" s="7"/>
      <c r="Y3" s="7"/>
      <c r="Z3" s="92"/>
      <c r="AA3" s="16"/>
      <c r="AB3" s="16"/>
      <c r="AC3" s="92"/>
      <c r="AD3" s="92"/>
      <c r="AE3" s="92"/>
      <c r="AF3" s="92"/>
    </row>
    <row r="4" spans="1:32" ht="15">
      <c r="A4" s="140" t="s">
        <v>0</v>
      </c>
      <c r="B4" s="1"/>
      <c r="C4" s="14"/>
      <c r="D4" s="14"/>
      <c r="E4" s="1"/>
      <c r="F4" s="55"/>
      <c r="G4" s="41"/>
      <c r="H4" s="25"/>
      <c r="I4" s="25"/>
      <c r="J4" s="1"/>
      <c r="K4" s="1"/>
      <c r="L4" s="1"/>
      <c r="M4" s="14"/>
      <c r="N4" s="41"/>
      <c r="O4" s="30"/>
      <c r="P4" s="30"/>
      <c r="Q4" s="1"/>
      <c r="R4" s="1"/>
      <c r="S4" s="55"/>
      <c r="T4" s="14"/>
      <c r="U4" s="41"/>
      <c r="V4" s="1"/>
      <c r="W4" s="1"/>
      <c r="X4" s="30"/>
      <c r="Y4" s="30"/>
      <c r="Z4" s="30"/>
      <c r="AA4" s="14"/>
      <c r="AB4" s="41"/>
      <c r="AC4" s="30"/>
      <c r="AD4" s="30"/>
      <c r="AE4" s="30"/>
      <c r="AF4" s="30"/>
    </row>
    <row r="5" spans="1:32" ht="15">
      <c r="A5" s="141"/>
      <c r="B5" s="1"/>
      <c r="C5" s="14"/>
      <c r="D5" s="14"/>
      <c r="E5" s="1"/>
      <c r="F5" s="15"/>
      <c r="G5" s="14"/>
      <c r="H5" s="25"/>
      <c r="I5" s="25"/>
      <c r="J5" s="1"/>
      <c r="K5" s="1"/>
      <c r="L5" s="1"/>
      <c r="M5" s="14"/>
      <c r="N5" s="14"/>
      <c r="O5" s="28"/>
      <c r="P5" s="28"/>
      <c r="Q5" s="25"/>
      <c r="R5" s="1"/>
      <c r="S5" s="15"/>
      <c r="T5" s="14"/>
      <c r="U5" s="14"/>
      <c r="V5" s="1"/>
      <c r="W5" s="1"/>
      <c r="X5" s="28"/>
      <c r="Y5" s="71"/>
      <c r="Z5" s="71"/>
      <c r="AA5" s="14"/>
      <c r="AB5" s="14"/>
      <c r="AC5" s="71"/>
      <c r="AD5" s="71"/>
      <c r="AE5" s="71"/>
      <c r="AF5" s="71"/>
    </row>
    <row r="6" spans="1:32" s="37" customFormat="1" ht="15" customHeight="1">
      <c r="A6" s="142" t="s">
        <v>1</v>
      </c>
      <c r="B6" s="18">
        <v>131710</v>
      </c>
      <c r="C6" s="234">
        <v>250723</v>
      </c>
      <c r="D6" s="234"/>
      <c r="E6" s="18">
        <v>126023</v>
      </c>
      <c r="F6" s="237"/>
      <c r="G6" s="237"/>
      <c r="H6" s="18">
        <v>153413</v>
      </c>
      <c r="I6" s="66">
        <v>140636</v>
      </c>
      <c r="J6" s="18">
        <v>132548</v>
      </c>
      <c r="K6" s="254">
        <v>206129</v>
      </c>
      <c r="L6" s="254"/>
      <c r="M6" s="237">
        <v>0</v>
      </c>
      <c r="N6" s="237"/>
      <c r="O6" s="66">
        <v>166930</v>
      </c>
      <c r="P6" s="66">
        <v>117979</v>
      </c>
      <c r="Q6" s="66">
        <v>142818</v>
      </c>
      <c r="R6" s="66">
        <v>139551</v>
      </c>
      <c r="S6" s="237">
        <v>128056</v>
      </c>
      <c r="T6" s="237"/>
      <c r="U6" s="237"/>
      <c r="V6" s="18">
        <v>167752</v>
      </c>
      <c r="W6" s="18">
        <v>119695</v>
      </c>
      <c r="X6" s="66">
        <v>173111</v>
      </c>
      <c r="Y6" s="136">
        <v>131497</v>
      </c>
      <c r="Z6" s="136">
        <v>134241</v>
      </c>
      <c r="AA6" s="237">
        <v>0</v>
      </c>
      <c r="AB6" s="237"/>
      <c r="AC6" s="136">
        <v>181233</v>
      </c>
      <c r="AD6" s="136">
        <v>158427</v>
      </c>
      <c r="AE6" s="136">
        <v>170139</v>
      </c>
      <c r="AF6" s="136"/>
    </row>
    <row r="7" spans="1:32" s="37" customFormat="1" ht="15">
      <c r="A7" s="143"/>
      <c r="B7" s="19"/>
      <c r="C7" s="44"/>
      <c r="D7" s="44"/>
      <c r="E7" s="19"/>
      <c r="F7" s="46"/>
      <c r="G7" s="44"/>
      <c r="H7" s="26"/>
      <c r="I7" s="26"/>
      <c r="J7" s="19"/>
      <c r="K7" s="19"/>
      <c r="L7" s="19"/>
      <c r="M7" s="44"/>
      <c r="N7" s="44"/>
      <c r="O7" s="69"/>
      <c r="P7" s="69"/>
      <c r="Q7" s="26"/>
      <c r="R7" s="19"/>
      <c r="S7" s="46"/>
      <c r="T7" s="44"/>
      <c r="U7" s="44"/>
      <c r="V7" s="19"/>
      <c r="W7" s="19"/>
      <c r="X7" s="69"/>
      <c r="Y7" s="117"/>
      <c r="Z7" s="117"/>
      <c r="AA7" s="44"/>
      <c r="AB7" s="44"/>
      <c r="AC7" s="117"/>
      <c r="AD7" s="117"/>
      <c r="AE7" s="117"/>
      <c r="AF7" s="117"/>
    </row>
    <row r="8" spans="1:32" s="37" customFormat="1" ht="15" customHeight="1">
      <c r="A8" s="143" t="s">
        <v>2</v>
      </c>
      <c r="B8" s="18">
        <v>65504</v>
      </c>
      <c r="C8" s="234">
        <v>72957</v>
      </c>
      <c r="D8" s="234"/>
      <c r="E8" s="18">
        <v>46473</v>
      </c>
      <c r="F8" s="237">
        <v>42875</v>
      </c>
      <c r="G8" s="237"/>
      <c r="H8" s="66">
        <v>34226</v>
      </c>
      <c r="I8" s="66">
        <v>39963</v>
      </c>
      <c r="J8" s="18">
        <v>36564</v>
      </c>
      <c r="K8" s="254">
        <v>41063</v>
      </c>
      <c r="L8" s="254"/>
      <c r="M8" s="234">
        <v>41347</v>
      </c>
      <c r="N8" s="234"/>
      <c r="O8" s="66">
        <v>30479</v>
      </c>
      <c r="P8" s="66">
        <v>61040</v>
      </c>
      <c r="Q8" s="66">
        <v>43464</v>
      </c>
      <c r="R8" s="18">
        <v>53703</v>
      </c>
      <c r="S8" s="237">
        <v>33193</v>
      </c>
      <c r="T8" s="237"/>
      <c r="U8" s="237"/>
      <c r="V8" s="66">
        <v>24761</v>
      </c>
      <c r="W8" s="66">
        <v>59304</v>
      </c>
      <c r="X8" s="66">
        <v>58759</v>
      </c>
      <c r="Y8" s="136">
        <v>84224</v>
      </c>
      <c r="Z8" s="136">
        <v>75381</v>
      </c>
      <c r="AA8" s="237">
        <v>39065</v>
      </c>
      <c r="AB8" s="237"/>
      <c r="AC8" s="136">
        <v>26003</v>
      </c>
      <c r="AD8" s="136">
        <v>78015</v>
      </c>
      <c r="AE8" s="136">
        <v>105137</v>
      </c>
      <c r="AF8" s="136"/>
    </row>
    <row r="9" spans="1:32" ht="15">
      <c r="A9" s="144"/>
      <c r="B9" s="31"/>
      <c r="C9" s="35"/>
      <c r="D9" s="35"/>
      <c r="E9" s="31"/>
      <c r="F9" s="15"/>
      <c r="G9" s="14"/>
      <c r="H9" s="32"/>
      <c r="I9" s="32"/>
      <c r="J9" s="31"/>
      <c r="K9" s="31"/>
      <c r="L9" s="31"/>
      <c r="M9" s="35"/>
      <c r="N9" s="14"/>
      <c r="O9" s="28"/>
      <c r="P9" s="28"/>
      <c r="Q9" s="32"/>
      <c r="R9" s="31"/>
      <c r="S9" s="15"/>
      <c r="T9" s="35"/>
      <c r="U9" s="14"/>
      <c r="V9" s="31"/>
      <c r="W9" s="31"/>
      <c r="X9" s="28"/>
      <c r="Y9" s="71"/>
      <c r="Z9" s="71"/>
      <c r="AA9" s="35"/>
      <c r="AB9" s="14"/>
      <c r="AC9" s="71"/>
      <c r="AD9" s="71"/>
      <c r="AE9" s="71"/>
      <c r="AF9" s="71"/>
    </row>
    <row r="10" spans="1:32" s="37" customFormat="1">
      <c r="A10" s="142" t="s">
        <v>3</v>
      </c>
      <c r="B10" s="21">
        <f t="shared" ref="B10:AF10" si="2">+B6+B8</f>
        <v>197214</v>
      </c>
      <c r="C10" s="244">
        <f t="shared" si="2"/>
        <v>323680</v>
      </c>
      <c r="D10" s="244"/>
      <c r="E10" s="21">
        <f t="shared" si="2"/>
        <v>172496</v>
      </c>
      <c r="F10" s="239">
        <f t="shared" si="2"/>
        <v>42875</v>
      </c>
      <c r="G10" s="239"/>
      <c r="H10" s="21">
        <f t="shared" si="2"/>
        <v>187639</v>
      </c>
      <c r="I10" s="21">
        <f t="shared" si="2"/>
        <v>180599</v>
      </c>
      <c r="J10" s="21">
        <f t="shared" si="2"/>
        <v>169112</v>
      </c>
      <c r="K10" s="255">
        <f t="shared" si="2"/>
        <v>247192</v>
      </c>
      <c r="L10" s="255"/>
      <c r="M10" s="244">
        <f t="shared" si="2"/>
        <v>41347</v>
      </c>
      <c r="N10" s="244"/>
      <c r="O10" s="21">
        <f t="shared" si="2"/>
        <v>197409</v>
      </c>
      <c r="P10" s="21">
        <f t="shared" si="2"/>
        <v>179019</v>
      </c>
      <c r="Q10" s="21">
        <f t="shared" si="2"/>
        <v>186282</v>
      </c>
      <c r="R10" s="21">
        <f t="shared" si="2"/>
        <v>193254</v>
      </c>
      <c r="S10" s="244">
        <f>+S6+S8</f>
        <v>161249</v>
      </c>
      <c r="T10" s="244"/>
      <c r="U10" s="244"/>
      <c r="V10" s="21">
        <f t="shared" si="2"/>
        <v>192513</v>
      </c>
      <c r="W10" s="21">
        <f t="shared" si="2"/>
        <v>178999</v>
      </c>
      <c r="X10" s="21">
        <f t="shared" si="2"/>
        <v>231870</v>
      </c>
      <c r="Y10" s="91">
        <f t="shared" si="2"/>
        <v>215721</v>
      </c>
      <c r="Z10" s="91">
        <f t="shared" si="2"/>
        <v>209622</v>
      </c>
      <c r="AA10" s="244">
        <f t="shared" si="2"/>
        <v>39065</v>
      </c>
      <c r="AB10" s="244">
        <f t="shared" si="2"/>
        <v>0</v>
      </c>
      <c r="AC10" s="91">
        <f t="shared" si="2"/>
        <v>207236</v>
      </c>
      <c r="AD10" s="91">
        <f t="shared" si="2"/>
        <v>236442</v>
      </c>
      <c r="AE10" s="91">
        <f t="shared" si="2"/>
        <v>275276</v>
      </c>
      <c r="AF10" s="91">
        <f t="shared" si="2"/>
        <v>0</v>
      </c>
    </row>
    <row r="11" spans="1:32" ht="13.5" thickBot="1">
      <c r="A11" s="145"/>
      <c r="B11" s="7"/>
      <c r="C11" s="16"/>
      <c r="D11" s="16"/>
      <c r="E11" s="7"/>
      <c r="F11" s="17"/>
      <c r="G11" s="16"/>
      <c r="H11" s="42"/>
      <c r="I11" s="42"/>
      <c r="J11" s="7"/>
      <c r="K11" s="7"/>
      <c r="L11" s="7"/>
      <c r="M11" s="16"/>
      <c r="N11" s="16"/>
      <c r="O11" s="29"/>
      <c r="P11" s="29"/>
      <c r="Q11" s="7"/>
      <c r="R11" s="7"/>
      <c r="S11" s="17"/>
      <c r="T11" s="16"/>
      <c r="U11" s="16"/>
      <c r="V11" s="7"/>
      <c r="W11" s="7"/>
      <c r="X11" s="29"/>
      <c r="Y11" s="29"/>
      <c r="Z11" s="29"/>
      <c r="AA11" s="16"/>
      <c r="AB11" s="16"/>
      <c r="AC11" s="29"/>
      <c r="AD11" s="29"/>
      <c r="AE11" s="29"/>
      <c r="AF11" s="29"/>
    </row>
    <row r="13" spans="1:32">
      <c r="S13" s="23"/>
    </row>
    <row r="14" spans="1:32">
      <c r="M14" s="23"/>
    </row>
    <row r="15" spans="1:32">
      <c r="B15" s="34"/>
      <c r="H15" s="40"/>
      <c r="I15" s="40"/>
      <c r="J15" s="40"/>
      <c r="K15" s="40"/>
      <c r="L15" s="40"/>
    </row>
    <row r="19" spans="5:25" ht="19.5">
      <c r="Y19" s="157"/>
    </row>
    <row r="20" spans="5:25">
      <c r="E20" s="22"/>
    </row>
  </sheetData>
  <mergeCells count="18">
    <mergeCell ref="AA10:AB10"/>
    <mergeCell ref="F6:G6"/>
    <mergeCell ref="M6:N6"/>
    <mergeCell ref="AA6:AB6"/>
    <mergeCell ref="F8:G8"/>
    <mergeCell ref="M8:N8"/>
    <mergeCell ref="AA8:AB8"/>
    <mergeCell ref="K6:L6"/>
    <mergeCell ref="K8:L8"/>
    <mergeCell ref="K10:L10"/>
    <mergeCell ref="S6:U6"/>
    <mergeCell ref="S8:U8"/>
    <mergeCell ref="S10:U10"/>
    <mergeCell ref="C6:D6"/>
    <mergeCell ref="C8:D8"/>
    <mergeCell ref="C10:D10"/>
    <mergeCell ref="F10:G10"/>
    <mergeCell ref="M10:N10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2" sqref="F22"/>
    </sheetView>
  </sheetViews>
  <sheetFormatPr baseColWidth="10" defaultRowHeight="12.75"/>
  <cols>
    <col min="2" max="2" width="7.5703125" bestFit="1" customWidth="1"/>
    <col min="3" max="3" width="6.5703125" bestFit="1" customWidth="1"/>
    <col min="4" max="9" width="7.5703125" bestFit="1" customWidth="1"/>
    <col min="10" max="10" width="6.5703125" bestFit="1" customWidth="1"/>
    <col min="11" max="11" width="7.42578125" bestFit="1" customWidth="1"/>
    <col min="12" max="16" width="7.5703125" bestFit="1" customWidth="1"/>
    <col min="17" max="17" width="6.5703125" bestFit="1" customWidth="1"/>
    <col min="18" max="19" width="7.5703125" bestFit="1" customWidth="1"/>
    <col min="20" max="20" width="7.85546875" customWidth="1"/>
    <col min="21" max="23" width="7.5703125" bestFit="1" customWidth="1"/>
    <col min="24" max="24" width="6.5703125" bestFit="1" customWidth="1"/>
    <col min="25" max="29" width="7.5703125" bestFit="1" customWidth="1"/>
    <col min="30" max="31" width="7.85546875" customWidth="1"/>
  </cols>
  <sheetData>
    <row r="1" spans="1:32">
      <c r="A1" s="2"/>
      <c r="B1" s="24">
        <v>45778</v>
      </c>
      <c r="C1" s="24">
        <f t="shared" ref="C1:R2" si="0">+B1+1</f>
        <v>45779</v>
      </c>
      <c r="D1" s="24">
        <f t="shared" si="0"/>
        <v>45780</v>
      </c>
      <c r="E1" s="24">
        <f t="shared" si="0"/>
        <v>45781</v>
      </c>
      <c r="F1" s="24">
        <f t="shared" si="0"/>
        <v>45782</v>
      </c>
      <c r="G1" s="24">
        <f t="shared" si="0"/>
        <v>45783</v>
      </c>
      <c r="H1" s="24">
        <f t="shared" si="0"/>
        <v>45784</v>
      </c>
      <c r="I1" s="24">
        <f t="shared" si="0"/>
        <v>45785</v>
      </c>
      <c r="J1" s="24">
        <f t="shared" si="0"/>
        <v>45786</v>
      </c>
      <c r="K1" s="24">
        <f t="shared" si="0"/>
        <v>45787</v>
      </c>
      <c r="L1" s="24">
        <f t="shared" si="0"/>
        <v>45788</v>
      </c>
      <c r="M1" s="24">
        <f t="shared" si="0"/>
        <v>45789</v>
      </c>
      <c r="N1" s="24">
        <f t="shared" si="0"/>
        <v>45790</v>
      </c>
      <c r="O1" s="24">
        <f t="shared" si="0"/>
        <v>45791</v>
      </c>
      <c r="P1" s="24">
        <f t="shared" si="0"/>
        <v>45792</v>
      </c>
      <c r="Q1" s="24">
        <f t="shared" si="0"/>
        <v>45793</v>
      </c>
      <c r="R1" s="24">
        <f t="shared" si="0"/>
        <v>45794</v>
      </c>
      <c r="S1" s="24">
        <f t="shared" ref="Q1:AF2" si="1">+R1+1</f>
        <v>45795</v>
      </c>
      <c r="T1" s="24">
        <f t="shared" si="1"/>
        <v>45796</v>
      </c>
      <c r="U1" s="24">
        <f t="shared" si="1"/>
        <v>45797</v>
      </c>
      <c r="V1" s="24">
        <f t="shared" si="1"/>
        <v>45798</v>
      </c>
      <c r="W1" s="24">
        <f t="shared" si="1"/>
        <v>45799</v>
      </c>
      <c r="X1" s="24">
        <f t="shared" si="1"/>
        <v>45800</v>
      </c>
      <c r="Y1" s="24">
        <f t="shared" si="1"/>
        <v>45801</v>
      </c>
      <c r="Z1" s="24">
        <f t="shared" si="1"/>
        <v>45802</v>
      </c>
      <c r="AA1" s="24">
        <f t="shared" si="1"/>
        <v>45803</v>
      </c>
      <c r="AB1" s="24">
        <f t="shared" si="1"/>
        <v>45804</v>
      </c>
      <c r="AC1" s="24">
        <f t="shared" si="1"/>
        <v>45805</v>
      </c>
      <c r="AD1" s="88">
        <f t="shared" si="1"/>
        <v>45806</v>
      </c>
      <c r="AE1" s="88">
        <f t="shared" si="1"/>
        <v>45807</v>
      </c>
      <c r="AF1" s="38">
        <f t="shared" si="1"/>
        <v>45808</v>
      </c>
    </row>
    <row r="2" spans="1:32">
      <c r="A2" s="4"/>
      <c r="B2" s="5">
        <v>45778</v>
      </c>
      <c r="C2" s="5">
        <f t="shared" si="0"/>
        <v>45779</v>
      </c>
      <c r="D2" s="5">
        <f t="shared" si="0"/>
        <v>45780</v>
      </c>
      <c r="E2" s="5">
        <f t="shared" si="0"/>
        <v>45781</v>
      </c>
      <c r="F2" s="5">
        <f t="shared" si="0"/>
        <v>45782</v>
      </c>
      <c r="G2" s="5">
        <f t="shared" si="0"/>
        <v>45783</v>
      </c>
      <c r="H2" s="5">
        <f t="shared" si="0"/>
        <v>45784</v>
      </c>
      <c r="I2" s="5">
        <f t="shared" si="0"/>
        <v>45785</v>
      </c>
      <c r="J2" s="5">
        <f t="shared" si="0"/>
        <v>45786</v>
      </c>
      <c r="K2" s="5">
        <f t="shared" si="0"/>
        <v>45787</v>
      </c>
      <c r="L2" s="5">
        <f t="shared" si="0"/>
        <v>45788</v>
      </c>
      <c r="M2" s="5">
        <f t="shared" si="0"/>
        <v>45789</v>
      </c>
      <c r="N2" s="5">
        <f t="shared" si="0"/>
        <v>45790</v>
      </c>
      <c r="O2" s="5">
        <f t="shared" si="0"/>
        <v>45791</v>
      </c>
      <c r="P2" s="5">
        <f t="shared" si="0"/>
        <v>45792</v>
      </c>
      <c r="Q2" s="5">
        <f t="shared" si="1"/>
        <v>45793</v>
      </c>
      <c r="R2" s="5">
        <f t="shared" si="1"/>
        <v>45794</v>
      </c>
      <c r="S2" s="5">
        <f t="shared" si="1"/>
        <v>45795</v>
      </c>
      <c r="T2" s="5">
        <f t="shared" si="1"/>
        <v>45796</v>
      </c>
      <c r="U2" s="5">
        <f t="shared" si="1"/>
        <v>45797</v>
      </c>
      <c r="V2" s="5">
        <f t="shared" si="1"/>
        <v>45798</v>
      </c>
      <c r="W2" s="5">
        <f t="shared" si="1"/>
        <v>45799</v>
      </c>
      <c r="X2" s="5">
        <f t="shared" si="1"/>
        <v>45800</v>
      </c>
      <c r="Y2" s="5">
        <f t="shared" si="1"/>
        <v>45801</v>
      </c>
      <c r="Z2" s="5">
        <f t="shared" si="1"/>
        <v>45802</v>
      </c>
      <c r="AA2" s="5">
        <f t="shared" si="1"/>
        <v>45803</v>
      </c>
      <c r="AB2" s="5">
        <f t="shared" si="1"/>
        <v>45804</v>
      </c>
      <c r="AC2" s="5">
        <f t="shared" si="1"/>
        <v>45805</v>
      </c>
      <c r="AD2" s="89">
        <f t="shared" si="1"/>
        <v>45806</v>
      </c>
      <c r="AE2" s="89">
        <f t="shared" si="1"/>
        <v>45807</v>
      </c>
      <c r="AF2" s="39">
        <f t="shared" si="1"/>
        <v>45808</v>
      </c>
    </row>
    <row r="3" spans="1:32" ht="13.5" thickBot="1">
      <c r="A3" s="6"/>
      <c r="B3" s="16"/>
      <c r="C3" s="16"/>
      <c r="D3" s="158"/>
      <c r="E3" s="158"/>
      <c r="F3" s="7"/>
      <c r="G3" s="7"/>
      <c r="H3" s="7"/>
      <c r="I3" s="7"/>
      <c r="J3" s="7"/>
      <c r="K3" s="16"/>
      <c r="L3" s="16"/>
      <c r="M3" s="7"/>
      <c r="N3" s="7"/>
      <c r="O3" s="7"/>
      <c r="P3" s="168"/>
      <c r="Q3" s="168"/>
      <c r="R3" s="16"/>
      <c r="S3" s="16"/>
      <c r="T3" s="7"/>
      <c r="U3" s="7"/>
      <c r="V3" s="7"/>
      <c r="W3" s="7"/>
      <c r="X3" s="7"/>
      <c r="Y3" s="16"/>
      <c r="Z3" s="16"/>
      <c r="AA3" s="7"/>
      <c r="AB3" s="7"/>
      <c r="AC3" s="7"/>
      <c r="AD3" s="7"/>
      <c r="AE3" s="7"/>
      <c r="AF3" s="173"/>
    </row>
    <row r="4" spans="1:32" ht="15">
      <c r="A4" s="9" t="s">
        <v>0</v>
      </c>
      <c r="B4" s="14"/>
      <c r="C4" s="41"/>
      <c r="D4" s="159"/>
      <c r="E4" s="159"/>
      <c r="F4" s="1"/>
      <c r="G4" s="1"/>
      <c r="H4" s="1"/>
      <c r="I4" s="1"/>
      <c r="J4" s="1"/>
      <c r="K4" s="55"/>
      <c r="L4" s="41"/>
      <c r="M4" s="1"/>
      <c r="N4" s="1"/>
      <c r="O4" s="1"/>
      <c r="P4" s="169"/>
      <c r="Q4" s="170"/>
      <c r="R4" s="55"/>
      <c r="S4" s="41"/>
      <c r="T4" s="1"/>
      <c r="U4" s="1"/>
      <c r="V4" s="30"/>
      <c r="W4" s="30"/>
      <c r="X4" s="30"/>
      <c r="Y4" s="55"/>
      <c r="Z4" s="41"/>
      <c r="AA4" s="30"/>
      <c r="AB4" s="30"/>
      <c r="AC4" s="30"/>
      <c r="AD4" s="30"/>
      <c r="AE4" s="30"/>
      <c r="AF4" s="174"/>
    </row>
    <row r="5" spans="1:32" ht="15">
      <c r="A5" s="10"/>
      <c r="B5" s="14"/>
      <c r="C5" s="14"/>
      <c r="D5" s="159"/>
      <c r="E5" s="159"/>
      <c r="F5" s="1"/>
      <c r="G5" s="1"/>
      <c r="H5" s="1"/>
      <c r="I5" s="1"/>
      <c r="J5" s="1"/>
      <c r="K5" s="15"/>
      <c r="L5" s="14"/>
      <c r="M5" s="1"/>
      <c r="N5" s="1"/>
      <c r="O5" s="1"/>
      <c r="P5" s="169"/>
      <c r="Q5" s="169"/>
      <c r="R5" s="15"/>
      <c r="S5" s="14"/>
      <c r="T5" s="25"/>
      <c r="U5" s="1"/>
      <c r="V5" s="28"/>
      <c r="W5" s="28"/>
      <c r="X5" s="28"/>
      <c r="Y5" s="15"/>
      <c r="Z5" s="14"/>
      <c r="AA5" s="28"/>
      <c r="AB5" s="28"/>
      <c r="AC5" s="28"/>
      <c r="AD5" s="28"/>
      <c r="AE5" s="28"/>
      <c r="AF5" s="175"/>
    </row>
    <row r="6" spans="1:32" ht="15" customHeight="1">
      <c r="A6" s="11" t="s">
        <v>1</v>
      </c>
      <c r="B6" s="234">
        <v>136534</v>
      </c>
      <c r="C6" s="234"/>
      <c r="D6" s="257"/>
      <c r="E6" s="257"/>
      <c r="F6" s="155">
        <v>152146</v>
      </c>
      <c r="G6" s="155">
        <v>151617</v>
      </c>
      <c r="H6" s="155">
        <v>151617</v>
      </c>
      <c r="I6" s="161">
        <v>107662</v>
      </c>
      <c r="J6" s="161">
        <v>139461</v>
      </c>
      <c r="K6" s="237">
        <v>0</v>
      </c>
      <c r="L6" s="237"/>
      <c r="M6" s="47">
        <v>177484</v>
      </c>
      <c r="N6" s="47">
        <v>126450</v>
      </c>
      <c r="O6" s="47">
        <v>145172</v>
      </c>
      <c r="P6" s="171">
        <v>124756</v>
      </c>
      <c r="Q6" s="171">
        <v>164759</v>
      </c>
      <c r="R6" s="237">
        <v>159130</v>
      </c>
      <c r="S6" s="237"/>
      <c r="T6" s="33">
        <v>160392</v>
      </c>
      <c r="U6" s="33">
        <v>99868</v>
      </c>
      <c r="V6" s="33">
        <v>127192</v>
      </c>
      <c r="W6" s="33">
        <v>100229</v>
      </c>
      <c r="X6" s="33">
        <v>96508</v>
      </c>
      <c r="Y6" s="237">
        <v>0</v>
      </c>
      <c r="Z6" s="237"/>
      <c r="AA6" s="33">
        <v>178009</v>
      </c>
      <c r="AB6" s="33">
        <v>121313</v>
      </c>
      <c r="AC6" s="33">
        <v>122109</v>
      </c>
      <c r="AD6" s="33">
        <v>80961</v>
      </c>
      <c r="AE6" s="33">
        <v>116548</v>
      </c>
      <c r="AF6" s="176">
        <v>0</v>
      </c>
    </row>
    <row r="7" spans="1:32" ht="15">
      <c r="A7" s="12"/>
      <c r="B7" s="44"/>
      <c r="C7" s="44"/>
      <c r="D7" s="160"/>
      <c r="E7" s="160"/>
      <c r="F7" s="19"/>
      <c r="G7" s="19"/>
      <c r="H7" s="19"/>
      <c r="I7" s="19"/>
      <c r="J7" s="19"/>
      <c r="K7" s="46"/>
      <c r="L7" s="44"/>
      <c r="M7" s="31"/>
      <c r="N7" s="31"/>
      <c r="O7" s="31"/>
      <c r="P7" s="172"/>
      <c r="Q7" s="169"/>
      <c r="R7" s="46"/>
      <c r="S7" s="44"/>
      <c r="T7" s="32"/>
      <c r="U7" s="31"/>
      <c r="V7" s="28"/>
      <c r="W7" s="28"/>
      <c r="X7" s="28"/>
      <c r="Y7" s="46"/>
      <c r="Z7" s="44"/>
      <c r="AA7" s="28"/>
      <c r="AB7" s="28"/>
      <c r="AC7" s="28"/>
      <c r="AD7" s="28"/>
      <c r="AE7" s="28"/>
      <c r="AF7" s="175"/>
    </row>
    <row r="8" spans="1:32" ht="15" customHeight="1">
      <c r="A8" s="12" t="s">
        <v>2</v>
      </c>
      <c r="B8" s="234">
        <v>146966</v>
      </c>
      <c r="C8" s="234"/>
      <c r="D8" s="257">
        <v>47574</v>
      </c>
      <c r="E8" s="257"/>
      <c r="F8" s="155">
        <v>42202</v>
      </c>
      <c r="G8" s="155">
        <v>109016</v>
      </c>
      <c r="H8" s="155">
        <v>109016</v>
      </c>
      <c r="I8" s="161">
        <v>148075</v>
      </c>
      <c r="J8" s="161">
        <v>106185</v>
      </c>
      <c r="K8" s="237">
        <v>40653</v>
      </c>
      <c r="L8" s="237"/>
      <c r="M8" s="47">
        <v>25272</v>
      </c>
      <c r="N8" s="47">
        <v>62657</v>
      </c>
      <c r="O8" s="47">
        <v>63699</v>
      </c>
      <c r="P8" s="171">
        <v>73382</v>
      </c>
      <c r="Q8" s="171">
        <v>53201</v>
      </c>
      <c r="R8" s="237">
        <v>48014</v>
      </c>
      <c r="S8" s="237"/>
      <c r="T8" s="33">
        <v>27286</v>
      </c>
      <c r="U8" s="47">
        <v>49808</v>
      </c>
      <c r="V8" s="33">
        <v>38997</v>
      </c>
      <c r="W8" s="33">
        <v>27283</v>
      </c>
      <c r="X8" s="33">
        <v>22765</v>
      </c>
      <c r="Y8" s="237">
        <v>37258</v>
      </c>
      <c r="Z8" s="237"/>
      <c r="AA8" s="33">
        <v>17090</v>
      </c>
      <c r="AB8" s="33">
        <v>48915</v>
      </c>
      <c r="AC8" s="33">
        <v>42530</v>
      </c>
      <c r="AD8" s="33">
        <v>25598</v>
      </c>
      <c r="AE8" s="33">
        <v>16029</v>
      </c>
      <c r="AF8" s="176">
        <v>32565</v>
      </c>
    </row>
    <row r="9" spans="1:32" ht="15">
      <c r="A9" s="12"/>
      <c r="B9" s="44"/>
      <c r="C9" s="44"/>
      <c r="D9" s="160"/>
      <c r="E9" s="160"/>
      <c r="F9" s="19"/>
      <c r="G9" s="19"/>
      <c r="H9" s="19"/>
      <c r="I9" s="19"/>
      <c r="J9" s="19"/>
      <c r="K9" s="46"/>
      <c r="L9" s="44"/>
      <c r="M9" s="31"/>
      <c r="N9" s="31"/>
      <c r="O9" s="31"/>
      <c r="P9" s="172"/>
      <c r="Q9" s="169"/>
      <c r="R9" s="46"/>
      <c r="S9" s="44"/>
      <c r="T9" s="32"/>
      <c r="U9" s="31"/>
      <c r="V9" s="28"/>
      <c r="W9" s="28"/>
      <c r="X9" s="28"/>
      <c r="Y9" s="46"/>
      <c r="Z9" s="44"/>
      <c r="AA9" s="28"/>
      <c r="AB9" s="28"/>
      <c r="AC9" s="28"/>
      <c r="AD9" s="28"/>
      <c r="AE9" s="28"/>
      <c r="AF9" s="175"/>
    </row>
    <row r="10" spans="1:32" s="37" customFormat="1">
      <c r="A10" s="36" t="s">
        <v>3</v>
      </c>
      <c r="B10" s="244">
        <f>+B6+B8</f>
        <v>283500</v>
      </c>
      <c r="C10" s="244"/>
      <c r="D10" s="256">
        <f t="shared" ref="D10:AC10" si="2">+D6+D8</f>
        <v>47574</v>
      </c>
      <c r="E10" s="256"/>
      <c r="F10" s="156">
        <f t="shared" si="2"/>
        <v>194348</v>
      </c>
      <c r="G10" s="156">
        <f t="shared" si="2"/>
        <v>260633</v>
      </c>
      <c r="H10" s="156">
        <f t="shared" si="2"/>
        <v>260633</v>
      </c>
      <c r="I10" s="162">
        <f t="shared" si="2"/>
        <v>255737</v>
      </c>
      <c r="J10" s="162"/>
      <c r="K10" s="239">
        <f t="shared" si="2"/>
        <v>40653</v>
      </c>
      <c r="L10" s="239">
        <f t="shared" si="2"/>
        <v>0</v>
      </c>
      <c r="M10" s="156">
        <f t="shared" si="2"/>
        <v>202756</v>
      </c>
      <c r="N10" s="156">
        <f t="shared" si="2"/>
        <v>189107</v>
      </c>
      <c r="O10" s="156">
        <f t="shared" si="2"/>
        <v>208871</v>
      </c>
      <c r="P10" s="163">
        <f t="shared" si="2"/>
        <v>198138</v>
      </c>
      <c r="Q10" s="163">
        <f t="shared" si="2"/>
        <v>217960</v>
      </c>
      <c r="R10" s="239">
        <f t="shared" si="2"/>
        <v>207144</v>
      </c>
      <c r="S10" s="239">
        <f t="shared" si="2"/>
        <v>0</v>
      </c>
      <c r="T10" s="163">
        <f t="shared" si="2"/>
        <v>187678</v>
      </c>
      <c r="U10" s="163">
        <f t="shared" si="2"/>
        <v>149676</v>
      </c>
      <c r="V10" s="163">
        <f t="shared" si="2"/>
        <v>166189</v>
      </c>
      <c r="W10" s="163">
        <f t="shared" si="2"/>
        <v>127512</v>
      </c>
      <c r="X10" s="163">
        <f t="shared" si="2"/>
        <v>119273</v>
      </c>
      <c r="Y10" s="239">
        <f t="shared" si="2"/>
        <v>37258</v>
      </c>
      <c r="Z10" s="239">
        <f t="shared" si="2"/>
        <v>0</v>
      </c>
      <c r="AA10" s="156">
        <f t="shared" si="2"/>
        <v>195099</v>
      </c>
      <c r="AB10" s="156">
        <f t="shared" si="2"/>
        <v>170228</v>
      </c>
      <c r="AC10" s="156">
        <f t="shared" si="2"/>
        <v>164639</v>
      </c>
      <c r="AD10" s="163">
        <f>+AD6+AD8</f>
        <v>106559</v>
      </c>
      <c r="AE10" s="163">
        <f t="shared" ref="AE10:AF10" si="3">+AE6+AE8</f>
        <v>132577</v>
      </c>
      <c r="AF10" s="177">
        <f t="shared" si="3"/>
        <v>32565</v>
      </c>
    </row>
    <row r="11" spans="1:32" ht="13.5" thickBot="1">
      <c r="A11" s="13"/>
      <c r="B11" s="16"/>
      <c r="C11" s="16"/>
      <c r="D11" s="158"/>
      <c r="E11" s="158"/>
      <c r="F11" s="7"/>
      <c r="G11" s="7"/>
      <c r="H11" s="7"/>
      <c r="I11" s="7"/>
      <c r="J11" s="7"/>
      <c r="K11" s="17"/>
      <c r="L11" s="16"/>
      <c r="M11" s="7"/>
      <c r="N11" s="7"/>
      <c r="O11" s="7"/>
      <c r="P11" s="168"/>
      <c r="Q11" s="168"/>
      <c r="R11" s="17"/>
      <c r="S11" s="16"/>
      <c r="T11" s="7"/>
      <c r="U11" s="7"/>
      <c r="V11" s="29"/>
      <c r="W11" s="168"/>
      <c r="X11" s="168"/>
      <c r="Y11" s="17"/>
      <c r="Z11" s="16"/>
      <c r="AA11" s="29"/>
      <c r="AB11" s="29"/>
      <c r="AC11" s="29"/>
      <c r="AD11" s="29"/>
      <c r="AE11" s="29"/>
      <c r="AF11" s="178"/>
    </row>
    <row r="13" spans="1:32">
      <c r="V13" s="23"/>
    </row>
    <row r="14" spans="1:32">
      <c r="P14" s="2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</row>
    <row r="15" spans="1:32">
      <c r="E15" s="34"/>
      <c r="K15" s="40"/>
      <c r="L15" s="40"/>
      <c r="M15" s="40"/>
      <c r="N15" s="40"/>
      <c r="O15" s="40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</row>
    <row r="16" spans="1:32">
      <c r="T16" s="133"/>
      <c r="U16" s="133"/>
      <c r="V16" s="133"/>
      <c r="W16" s="133"/>
      <c r="X16" s="133"/>
      <c r="Y16" s="133"/>
      <c r="Z16" s="133"/>
      <c r="AA16" s="133"/>
      <c r="AB16" s="133"/>
      <c r="AC16" s="133"/>
    </row>
    <row r="17" spans="8:29">
      <c r="T17" s="133"/>
      <c r="U17" s="133"/>
      <c r="V17" s="133"/>
      <c r="W17" s="133"/>
      <c r="X17" s="133"/>
      <c r="Y17" s="133"/>
      <c r="Z17" s="133"/>
      <c r="AA17" s="133"/>
      <c r="AB17" s="133"/>
      <c r="AC17" s="133"/>
    </row>
    <row r="20" spans="8:29">
      <c r="H20" s="22"/>
    </row>
  </sheetData>
  <mergeCells count="15">
    <mergeCell ref="Y6:Z6"/>
    <mergeCell ref="Y8:Z8"/>
    <mergeCell ref="Y10:Z10"/>
    <mergeCell ref="R6:S6"/>
    <mergeCell ref="R8:S8"/>
    <mergeCell ref="R10:S10"/>
    <mergeCell ref="K6:L6"/>
    <mergeCell ref="K8:L8"/>
    <mergeCell ref="K10:L10"/>
    <mergeCell ref="D10:E10"/>
    <mergeCell ref="B6:C6"/>
    <mergeCell ref="B10:C10"/>
    <mergeCell ref="B8:C8"/>
    <mergeCell ref="D6:E6"/>
    <mergeCell ref="D8:E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20"/>
  <sheetViews>
    <sheetView workbookViewId="0">
      <pane xSplit="1" ySplit="2" topLeftCell="J3" activePane="bottomRight" state="frozen"/>
      <selection pane="topRight" activeCell="B1" sqref="B1"/>
      <selection pane="bottomLeft" activeCell="A3" sqref="A3"/>
      <selection pane="bottomRight" activeCell="C6" sqref="C6:AE6"/>
    </sheetView>
  </sheetViews>
  <sheetFormatPr baseColWidth="10" defaultRowHeight="12.75"/>
  <cols>
    <col min="2" max="3" width="6.7109375" bestFit="1" customWidth="1"/>
    <col min="4" max="4" width="8" customWidth="1"/>
    <col min="5" max="5" width="7.5703125" bestFit="1" customWidth="1"/>
    <col min="6" max="6" width="7.5703125" customWidth="1"/>
    <col min="7" max="9" width="7.5703125" bestFit="1" customWidth="1"/>
    <col min="10" max="10" width="7.42578125" bestFit="1" customWidth="1"/>
    <col min="11" max="16" width="7.5703125" bestFit="1" customWidth="1"/>
    <col min="17" max="17" width="6.5703125" bestFit="1" customWidth="1"/>
    <col min="18" max="18" width="7.42578125" bestFit="1" customWidth="1"/>
    <col min="19" max="23" width="7.5703125" bestFit="1" customWidth="1"/>
    <col min="24" max="24" width="6.5703125" bestFit="1" customWidth="1"/>
    <col min="25" max="26" width="7.5703125" bestFit="1" customWidth="1"/>
    <col min="27" max="27" width="7.85546875" customWidth="1"/>
    <col min="28" max="28" width="7.5703125" bestFit="1" customWidth="1"/>
    <col min="29" max="30" width="7.42578125" customWidth="1"/>
    <col min="31" max="31" width="8.140625" customWidth="1"/>
  </cols>
  <sheetData>
    <row r="1" spans="1:31">
      <c r="A1" s="2"/>
      <c r="B1" s="24">
        <v>45809</v>
      </c>
      <c r="C1" s="24">
        <f t="shared" ref="C1:R2" si="0">+B1+1</f>
        <v>45810</v>
      </c>
      <c r="D1" s="24">
        <f t="shared" si="0"/>
        <v>45811</v>
      </c>
      <c r="E1" s="24">
        <f t="shared" si="0"/>
        <v>45812</v>
      </c>
      <c r="F1" s="24">
        <f t="shared" si="0"/>
        <v>45813</v>
      </c>
      <c r="G1" s="24">
        <f t="shared" si="0"/>
        <v>45814</v>
      </c>
      <c r="H1" s="24">
        <f t="shared" si="0"/>
        <v>45815</v>
      </c>
      <c r="I1" s="24">
        <f t="shared" si="0"/>
        <v>45816</v>
      </c>
      <c r="J1" s="24">
        <f t="shared" si="0"/>
        <v>45817</v>
      </c>
      <c r="K1" s="24">
        <f t="shared" si="0"/>
        <v>45818</v>
      </c>
      <c r="L1" s="24">
        <f t="shared" si="0"/>
        <v>45819</v>
      </c>
      <c r="M1" s="24">
        <f t="shared" si="0"/>
        <v>45820</v>
      </c>
      <c r="N1" s="24">
        <f t="shared" si="0"/>
        <v>45821</v>
      </c>
      <c r="O1" s="24">
        <f t="shared" si="0"/>
        <v>45822</v>
      </c>
      <c r="P1" s="24">
        <f t="shared" si="0"/>
        <v>45823</v>
      </c>
      <c r="Q1" s="24">
        <f t="shared" si="0"/>
        <v>45824</v>
      </c>
      <c r="R1" s="24">
        <f t="shared" si="0"/>
        <v>45825</v>
      </c>
      <c r="S1" s="24">
        <f t="shared" ref="R1:AE2" si="1">+R1+1</f>
        <v>45826</v>
      </c>
      <c r="T1" s="24">
        <f t="shared" si="1"/>
        <v>45827</v>
      </c>
      <c r="U1" s="24">
        <f t="shared" si="1"/>
        <v>45828</v>
      </c>
      <c r="V1" s="24">
        <f t="shared" si="1"/>
        <v>45829</v>
      </c>
      <c r="W1" s="24">
        <f t="shared" si="1"/>
        <v>45830</v>
      </c>
      <c r="X1" s="24">
        <f t="shared" si="1"/>
        <v>45831</v>
      </c>
      <c r="Y1" s="24">
        <f t="shared" si="1"/>
        <v>45832</v>
      </c>
      <c r="Z1" s="24">
        <f t="shared" si="1"/>
        <v>45833</v>
      </c>
      <c r="AA1" s="24">
        <f t="shared" si="1"/>
        <v>45834</v>
      </c>
      <c r="AB1" s="24">
        <f t="shared" si="1"/>
        <v>45835</v>
      </c>
      <c r="AC1" s="24">
        <f t="shared" si="1"/>
        <v>45836</v>
      </c>
      <c r="AD1" s="24">
        <f t="shared" si="1"/>
        <v>45837</v>
      </c>
      <c r="AE1" s="24">
        <f t="shared" si="1"/>
        <v>45838</v>
      </c>
    </row>
    <row r="2" spans="1:31">
      <c r="A2" s="4"/>
      <c r="B2" s="5">
        <v>45809</v>
      </c>
      <c r="C2" s="5">
        <f t="shared" si="0"/>
        <v>45810</v>
      </c>
      <c r="D2" s="5">
        <f t="shared" si="0"/>
        <v>45811</v>
      </c>
      <c r="E2" s="5">
        <f t="shared" si="0"/>
        <v>45812</v>
      </c>
      <c r="F2" s="5">
        <f t="shared" si="0"/>
        <v>45813</v>
      </c>
      <c r="G2" s="5">
        <f t="shared" si="0"/>
        <v>45814</v>
      </c>
      <c r="H2" s="5">
        <f t="shared" si="0"/>
        <v>45815</v>
      </c>
      <c r="I2" s="5">
        <f t="shared" si="0"/>
        <v>45816</v>
      </c>
      <c r="J2" s="5">
        <f t="shared" si="0"/>
        <v>45817</v>
      </c>
      <c r="K2" s="5">
        <f t="shared" si="0"/>
        <v>45818</v>
      </c>
      <c r="L2" s="5">
        <f t="shared" si="0"/>
        <v>45819</v>
      </c>
      <c r="M2" s="5">
        <f t="shared" si="0"/>
        <v>45820</v>
      </c>
      <c r="N2" s="5">
        <f t="shared" si="0"/>
        <v>45821</v>
      </c>
      <c r="O2" s="5">
        <f t="shared" si="0"/>
        <v>45822</v>
      </c>
      <c r="P2" s="5">
        <f t="shared" si="0"/>
        <v>45823</v>
      </c>
      <c r="Q2" s="5">
        <f t="shared" si="0"/>
        <v>45824</v>
      </c>
      <c r="R2" s="5">
        <f t="shared" si="1"/>
        <v>45825</v>
      </c>
      <c r="S2" s="5">
        <f t="shared" si="1"/>
        <v>45826</v>
      </c>
      <c r="T2" s="5">
        <f t="shared" si="1"/>
        <v>45827</v>
      </c>
      <c r="U2" s="5">
        <f t="shared" si="1"/>
        <v>45828</v>
      </c>
      <c r="V2" s="5">
        <f t="shared" si="1"/>
        <v>45829</v>
      </c>
      <c r="W2" s="5">
        <f t="shared" si="1"/>
        <v>45830</v>
      </c>
      <c r="X2" s="5">
        <f t="shared" si="1"/>
        <v>45831</v>
      </c>
      <c r="Y2" s="5">
        <f t="shared" si="1"/>
        <v>45832</v>
      </c>
      <c r="Z2" s="5">
        <f t="shared" si="1"/>
        <v>45833</v>
      </c>
      <c r="AA2" s="5">
        <f t="shared" si="1"/>
        <v>45834</v>
      </c>
      <c r="AB2" s="5">
        <f t="shared" si="1"/>
        <v>45835</v>
      </c>
      <c r="AC2" s="5">
        <f t="shared" si="1"/>
        <v>45836</v>
      </c>
      <c r="AD2" s="5">
        <f t="shared" si="1"/>
        <v>45837</v>
      </c>
      <c r="AE2" s="5">
        <f t="shared" si="1"/>
        <v>45838</v>
      </c>
    </row>
    <row r="3" spans="1:31" ht="13.5" thickBot="1">
      <c r="A3" s="6"/>
      <c r="B3" s="17"/>
      <c r="C3" s="115"/>
      <c r="D3" s="42"/>
      <c r="E3" s="42"/>
      <c r="F3" s="42"/>
      <c r="G3" s="7"/>
      <c r="H3" s="16"/>
      <c r="I3" s="16"/>
      <c r="J3" s="7"/>
      <c r="K3" s="7"/>
      <c r="L3" s="7"/>
      <c r="M3" s="7"/>
      <c r="N3" s="7"/>
      <c r="O3" s="16"/>
      <c r="P3" s="120"/>
      <c r="Q3" s="120"/>
      <c r="R3" s="42"/>
      <c r="S3" s="42"/>
      <c r="T3" s="7"/>
      <c r="U3" s="16"/>
      <c r="V3" s="16"/>
      <c r="W3" s="16"/>
      <c r="X3" s="42"/>
      <c r="Y3" s="7"/>
      <c r="Z3" s="7"/>
      <c r="AA3" s="7"/>
      <c r="AB3" s="7"/>
      <c r="AC3" s="16"/>
      <c r="AD3" s="16"/>
      <c r="AE3" s="42"/>
    </row>
    <row r="4" spans="1:31" s="113" customFormat="1" ht="11.25">
      <c r="A4" s="100" t="s">
        <v>0</v>
      </c>
      <c r="B4" s="101"/>
      <c r="C4" s="116"/>
      <c r="D4" s="102"/>
      <c r="E4" s="109"/>
      <c r="F4" s="109"/>
      <c r="G4" s="110"/>
      <c r="H4" s="111"/>
      <c r="I4" s="111"/>
      <c r="J4" s="110"/>
      <c r="K4" s="110"/>
      <c r="L4" s="110"/>
      <c r="M4" s="110"/>
      <c r="N4" s="110"/>
      <c r="O4" s="103"/>
      <c r="P4" s="121"/>
      <c r="Q4" s="181"/>
      <c r="R4" s="109"/>
      <c r="S4" s="109"/>
      <c r="T4" s="110"/>
      <c r="U4" s="111"/>
      <c r="V4" s="112"/>
      <c r="W4" s="111"/>
      <c r="X4" s="125"/>
      <c r="Y4" s="104"/>
      <c r="Z4" s="104"/>
      <c r="AA4" s="110"/>
      <c r="AB4" s="110"/>
      <c r="AC4" s="111"/>
      <c r="AD4" s="111"/>
      <c r="AE4" s="150"/>
    </row>
    <row r="5" spans="1:31" s="113" customFormat="1" ht="11.25">
      <c r="A5" s="105"/>
      <c r="B5" s="106"/>
      <c r="C5" s="117"/>
      <c r="D5" s="109"/>
      <c r="E5" s="109"/>
      <c r="F5" s="109"/>
      <c r="G5" s="110"/>
      <c r="H5" s="111"/>
      <c r="I5" s="111"/>
      <c r="J5" s="110"/>
      <c r="K5" s="110"/>
      <c r="L5" s="110"/>
      <c r="M5" s="110"/>
      <c r="N5" s="110"/>
      <c r="O5" s="46"/>
      <c r="P5" s="85"/>
      <c r="Q5" s="182"/>
      <c r="R5" s="109"/>
      <c r="S5" s="109"/>
      <c r="T5" s="110"/>
      <c r="U5" s="111"/>
      <c r="V5" s="111"/>
      <c r="W5" s="111"/>
      <c r="X5" s="109"/>
      <c r="Y5" s="69"/>
      <c r="Z5" s="69"/>
      <c r="AA5" s="109"/>
      <c r="AB5" s="110"/>
      <c r="AC5" s="111"/>
      <c r="AD5" s="111"/>
      <c r="AE5" s="150"/>
    </row>
    <row r="6" spans="1:31" s="113" customFormat="1" ht="15" customHeight="1">
      <c r="A6" s="36" t="s">
        <v>1</v>
      </c>
      <c r="B6" s="164"/>
      <c r="C6" s="43">
        <v>120259</v>
      </c>
      <c r="D6" s="109">
        <v>93223</v>
      </c>
      <c r="E6" s="43">
        <v>90575</v>
      </c>
      <c r="F6" s="166">
        <v>113107</v>
      </c>
      <c r="G6" s="166">
        <v>151746</v>
      </c>
      <c r="H6" s="234">
        <v>0</v>
      </c>
      <c r="I6" s="234"/>
      <c r="J6" s="166">
        <v>151237</v>
      </c>
      <c r="K6" s="166">
        <v>134431</v>
      </c>
      <c r="L6" s="166">
        <v>152625</v>
      </c>
      <c r="M6" s="166">
        <v>124892</v>
      </c>
      <c r="N6" s="166">
        <v>138337</v>
      </c>
      <c r="O6" s="237">
        <v>147374</v>
      </c>
      <c r="P6" s="237"/>
      <c r="Q6" s="237"/>
      <c r="R6" s="66">
        <v>81579</v>
      </c>
      <c r="S6" s="66">
        <v>113128</v>
      </c>
      <c r="T6" s="166">
        <v>86503</v>
      </c>
      <c r="U6" s="234">
        <v>76432</v>
      </c>
      <c r="V6" s="234"/>
      <c r="W6" s="234"/>
      <c r="X6" s="66">
        <v>111645</v>
      </c>
      <c r="Y6" s="66">
        <v>101036</v>
      </c>
      <c r="Z6" s="66">
        <v>123941</v>
      </c>
      <c r="AA6" s="66">
        <v>100900</v>
      </c>
      <c r="AB6" s="66">
        <v>106199</v>
      </c>
      <c r="AC6" s="237">
        <v>6707</v>
      </c>
      <c r="AD6" s="237"/>
      <c r="AE6" s="136">
        <v>115658</v>
      </c>
    </row>
    <row r="7" spans="1:31" s="113" customFormat="1" ht="11.25">
      <c r="A7" s="87"/>
      <c r="B7" s="108"/>
      <c r="C7" s="117"/>
      <c r="D7" s="109"/>
      <c r="E7" s="109"/>
      <c r="F7" s="109"/>
      <c r="G7" s="110"/>
      <c r="H7" s="111"/>
      <c r="I7" s="111"/>
      <c r="J7" s="110"/>
      <c r="K7" s="110"/>
      <c r="L7" s="110"/>
      <c r="M7" s="110"/>
      <c r="N7" s="110"/>
      <c r="O7" s="46"/>
      <c r="P7" s="85"/>
      <c r="Q7" s="111"/>
      <c r="R7" s="109"/>
      <c r="S7" s="109"/>
      <c r="T7" s="110"/>
      <c r="U7" s="111"/>
      <c r="V7" s="111"/>
      <c r="W7" s="111"/>
      <c r="X7" s="109"/>
      <c r="Y7" s="109"/>
      <c r="Z7" s="109"/>
      <c r="AA7" s="109"/>
      <c r="AB7" s="109"/>
      <c r="AC7" s="111"/>
      <c r="AD7" s="111"/>
      <c r="AE7" s="150"/>
    </row>
    <row r="8" spans="1:31" s="113" customFormat="1" ht="15" customHeight="1">
      <c r="A8" s="87" t="s">
        <v>2</v>
      </c>
      <c r="B8" s="108"/>
      <c r="C8" s="117">
        <v>14089</v>
      </c>
      <c r="D8" s="43">
        <v>22470</v>
      </c>
      <c r="E8" s="43">
        <v>15818</v>
      </c>
      <c r="F8" s="166">
        <v>5502</v>
      </c>
      <c r="G8" s="166">
        <v>14471</v>
      </c>
      <c r="H8" s="234">
        <v>43484</v>
      </c>
      <c r="I8" s="234"/>
      <c r="J8" s="166">
        <v>27001</v>
      </c>
      <c r="K8" s="166">
        <v>44200</v>
      </c>
      <c r="L8" s="166">
        <v>45880</v>
      </c>
      <c r="M8" s="166">
        <v>47014</v>
      </c>
      <c r="N8" s="166">
        <v>23616</v>
      </c>
      <c r="O8" s="237">
        <v>24026</v>
      </c>
      <c r="P8" s="237"/>
      <c r="Q8" s="237"/>
      <c r="R8" s="166">
        <v>41508</v>
      </c>
      <c r="S8" s="166">
        <v>22209</v>
      </c>
      <c r="T8" s="166">
        <v>21863</v>
      </c>
      <c r="U8" s="234">
        <v>16703</v>
      </c>
      <c r="V8" s="234"/>
      <c r="W8" s="234"/>
      <c r="X8" s="66">
        <v>10800</v>
      </c>
      <c r="Y8" s="66">
        <v>17782</v>
      </c>
      <c r="Z8" s="66">
        <v>16531</v>
      </c>
      <c r="AA8" s="66">
        <v>14697</v>
      </c>
      <c r="AB8" s="66">
        <v>12005</v>
      </c>
      <c r="AC8" s="237">
        <v>10549</v>
      </c>
      <c r="AD8" s="237"/>
      <c r="AE8" s="136">
        <v>6518</v>
      </c>
    </row>
    <row r="9" spans="1:31" s="37" customFormat="1" ht="15">
      <c r="A9" s="87"/>
      <c r="B9" s="108"/>
      <c r="C9" s="117"/>
      <c r="D9" s="26"/>
      <c r="E9" s="26"/>
      <c r="F9" s="26"/>
      <c r="G9" s="19"/>
      <c r="H9" s="44"/>
      <c r="I9" s="44"/>
      <c r="J9" s="19"/>
      <c r="K9" s="19"/>
      <c r="L9" s="19"/>
      <c r="M9" s="19"/>
      <c r="N9" s="19"/>
      <c r="O9" s="46"/>
      <c r="P9" s="85"/>
      <c r="Q9" s="44"/>
      <c r="R9" s="26"/>
      <c r="S9" s="26"/>
      <c r="T9" s="19"/>
      <c r="U9" s="44"/>
      <c r="V9" s="44"/>
      <c r="W9" s="44"/>
      <c r="X9" s="26"/>
      <c r="Y9" s="69"/>
      <c r="Z9" s="69"/>
      <c r="AA9" s="26"/>
      <c r="AB9" s="19"/>
      <c r="AC9" s="44"/>
      <c r="AD9" s="44"/>
      <c r="AE9" s="151"/>
    </row>
    <row r="10" spans="1:31" s="37" customFormat="1">
      <c r="A10" s="36" t="s">
        <v>3</v>
      </c>
      <c r="B10" s="165">
        <f t="shared" ref="B10:AC10" si="2">+B6+B8</f>
        <v>0</v>
      </c>
      <c r="C10" s="131">
        <f t="shared" si="2"/>
        <v>134348</v>
      </c>
      <c r="D10" s="167">
        <f t="shared" si="2"/>
        <v>115693</v>
      </c>
      <c r="E10" s="167">
        <f t="shared" si="2"/>
        <v>106393</v>
      </c>
      <c r="F10" s="167">
        <f t="shared" si="2"/>
        <v>118609</v>
      </c>
      <c r="G10" s="167">
        <f t="shared" si="2"/>
        <v>166217</v>
      </c>
      <c r="H10" s="244">
        <f t="shared" si="2"/>
        <v>43484</v>
      </c>
      <c r="I10" s="244"/>
      <c r="J10" s="167">
        <f>+J6+J8</f>
        <v>178238</v>
      </c>
      <c r="K10" s="167">
        <f t="shared" si="2"/>
        <v>178631</v>
      </c>
      <c r="L10" s="167">
        <f t="shared" si="2"/>
        <v>198505</v>
      </c>
      <c r="M10" s="167">
        <f t="shared" si="2"/>
        <v>171906</v>
      </c>
      <c r="N10" s="167">
        <f t="shared" si="2"/>
        <v>161953</v>
      </c>
      <c r="O10" s="239">
        <f t="shared" si="2"/>
        <v>171400</v>
      </c>
      <c r="P10" s="239"/>
      <c r="Q10" s="239"/>
      <c r="R10" s="167">
        <f t="shared" si="2"/>
        <v>123087</v>
      </c>
      <c r="S10" s="167">
        <f t="shared" si="2"/>
        <v>135337</v>
      </c>
      <c r="T10" s="167">
        <f t="shared" si="2"/>
        <v>108366</v>
      </c>
      <c r="U10" s="244">
        <f t="shared" si="2"/>
        <v>93135</v>
      </c>
      <c r="V10" s="244"/>
      <c r="W10" s="244"/>
      <c r="X10" s="45">
        <f>+X6+X8</f>
        <v>122445</v>
      </c>
      <c r="Y10" s="167">
        <f t="shared" si="2"/>
        <v>118818</v>
      </c>
      <c r="Z10" s="167">
        <f t="shared" si="2"/>
        <v>140472</v>
      </c>
      <c r="AA10" s="167">
        <f>+AA6+AA8</f>
        <v>115597</v>
      </c>
      <c r="AB10" s="167">
        <f t="shared" si="2"/>
        <v>118204</v>
      </c>
      <c r="AC10" s="244">
        <f t="shared" si="2"/>
        <v>17256</v>
      </c>
      <c r="AD10" s="244"/>
      <c r="AE10" s="152">
        <f>+AE6+AE8</f>
        <v>122176</v>
      </c>
    </row>
    <row r="11" spans="1:31" s="37" customFormat="1" ht="13.5" thickBot="1">
      <c r="A11" s="107"/>
      <c r="B11" s="78"/>
      <c r="C11" s="76"/>
      <c r="D11" s="79"/>
      <c r="E11" s="79"/>
      <c r="F11" s="79"/>
      <c r="G11" s="74"/>
      <c r="H11" s="75"/>
      <c r="I11" s="75"/>
      <c r="J11" s="74"/>
      <c r="K11" s="74"/>
      <c r="L11" s="74"/>
      <c r="M11" s="74"/>
      <c r="N11" s="74"/>
      <c r="O11" s="78"/>
      <c r="P11" s="78"/>
      <c r="Q11" s="75"/>
      <c r="R11" s="79"/>
      <c r="S11" s="79"/>
      <c r="T11" s="74"/>
      <c r="U11" s="75"/>
      <c r="V11" s="75"/>
      <c r="W11" s="75"/>
      <c r="X11" s="79"/>
      <c r="Y11" s="76"/>
      <c r="Z11" s="76"/>
      <c r="AA11" s="74"/>
      <c r="AB11" s="74"/>
      <c r="AC11" s="75"/>
      <c r="AD11" s="75"/>
      <c r="AE11" s="79"/>
    </row>
    <row r="13" spans="1:31">
      <c r="J13" s="34"/>
      <c r="K13" s="34"/>
      <c r="L13" s="34"/>
      <c r="M13" s="34"/>
      <c r="AC13" s="23"/>
    </row>
    <row r="14" spans="1:31">
      <c r="W14" s="23"/>
    </row>
    <row r="15" spans="1:31" s="133" customFormat="1" ht="10.5">
      <c r="C15" s="134"/>
      <c r="D15" s="134"/>
      <c r="E15" s="134"/>
      <c r="F15" s="134"/>
      <c r="G15" s="134"/>
      <c r="J15" s="134"/>
      <c r="L15" s="134"/>
      <c r="R15" s="134"/>
      <c r="S15" s="134"/>
      <c r="T15" s="134"/>
      <c r="U15" s="134"/>
      <c r="V15" s="134"/>
    </row>
    <row r="16" spans="1:31">
      <c r="K16" s="34"/>
    </row>
    <row r="20" spans="15:15">
      <c r="O20" s="22"/>
    </row>
  </sheetData>
  <mergeCells count="12">
    <mergeCell ref="H10:I10"/>
    <mergeCell ref="AC10:AD10"/>
    <mergeCell ref="H6:I6"/>
    <mergeCell ref="AC6:AD6"/>
    <mergeCell ref="H8:I8"/>
    <mergeCell ref="AC8:AD8"/>
    <mergeCell ref="O6:Q6"/>
    <mergeCell ref="O8:Q8"/>
    <mergeCell ref="O10:Q10"/>
    <mergeCell ref="U6:W6"/>
    <mergeCell ref="U8:W8"/>
    <mergeCell ref="U10:W10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6" sqref="B6"/>
    </sheetView>
  </sheetViews>
  <sheetFormatPr baseColWidth="10" defaultRowHeight="12.75"/>
  <cols>
    <col min="1" max="1" width="11.42578125" style="146"/>
    <col min="2" max="6" width="7.5703125" bestFit="1" customWidth="1"/>
    <col min="7" max="7" width="6.5703125" bestFit="1" customWidth="1"/>
    <col min="8" max="8" width="7.42578125" bestFit="1" customWidth="1"/>
    <col min="9" max="13" width="7.5703125" bestFit="1" customWidth="1"/>
    <col min="14" max="14" width="6.5703125" bestFit="1" customWidth="1"/>
    <col min="15" max="16" width="7.5703125" bestFit="1" customWidth="1"/>
    <col min="17" max="17" width="7.85546875" customWidth="1"/>
    <col min="18" max="20" width="7.5703125" bestFit="1" customWidth="1"/>
    <col min="21" max="21" width="6.5703125" bestFit="1" customWidth="1"/>
    <col min="22" max="32" width="7.5703125" bestFit="1" customWidth="1"/>
  </cols>
  <sheetData>
    <row r="1" spans="1:32">
      <c r="A1" s="137"/>
      <c r="B1" s="24">
        <v>45839</v>
      </c>
      <c r="C1" s="24">
        <f t="shared" ref="C1:R2" si="0">+B1+1</f>
        <v>45840</v>
      </c>
      <c r="D1" s="24">
        <f t="shared" si="0"/>
        <v>45841</v>
      </c>
      <c r="E1" s="24">
        <f t="shared" si="0"/>
        <v>45842</v>
      </c>
      <c r="F1" s="24">
        <f t="shared" si="0"/>
        <v>45843</v>
      </c>
      <c r="G1" s="24">
        <f t="shared" si="0"/>
        <v>45844</v>
      </c>
      <c r="H1" s="24">
        <f t="shared" si="0"/>
        <v>45845</v>
      </c>
      <c r="I1" s="24">
        <f t="shared" si="0"/>
        <v>45846</v>
      </c>
      <c r="J1" s="24">
        <f t="shared" si="0"/>
        <v>45847</v>
      </c>
      <c r="K1" s="24">
        <f t="shared" si="0"/>
        <v>45848</v>
      </c>
      <c r="L1" s="24">
        <f t="shared" si="0"/>
        <v>45849</v>
      </c>
      <c r="M1" s="24">
        <f t="shared" si="0"/>
        <v>45850</v>
      </c>
      <c r="N1" s="24">
        <f t="shared" si="0"/>
        <v>45851</v>
      </c>
      <c r="O1" s="24">
        <f t="shared" si="0"/>
        <v>45852</v>
      </c>
      <c r="P1" s="24">
        <f t="shared" si="0"/>
        <v>45853</v>
      </c>
      <c r="Q1" s="24">
        <f t="shared" si="0"/>
        <v>45854</v>
      </c>
      <c r="R1" s="24">
        <f t="shared" si="0"/>
        <v>45855</v>
      </c>
      <c r="S1" s="24">
        <f t="shared" ref="R1:AF2" si="1">+R1+1</f>
        <v>45856</v>
      </c>
      <c r="T1" s="24">
        <f t="shared" si="1"/>
        <v>45857</v>
      </c>
      <c r="U1" s="24">
        <f t="shared" si="1"/>
        <v>45858</v>
      </c>
      <c r="V1" s="24">
        <f t="shared" si="1"/>
        <v>45859</v>
      </c>
      <c r="W1" s="24">
        <f t="shared" si="1"/>
        <v>45860</v>
      </c>
      <c r="X1" s="24">
        <f t="shared" si="1"/>
        <v>45861</v>
      </c>
      <c r="Y1" s="88">
        <f t="shared" si="1"/>
        <v>45862</v>
      </c>
      <c r="Z1" s="88">
        <f t="shared" si="1"/>
        <v>45863</v>
      </c>
      <c r="AA1" s="88">
        <f t="shared" si="1"/>
        <v>45864</v>
      </c>
      <c r="AB1" s="88">
        <f t="shared" si="1"/>
        <v>45865</v>
      </c>
      <c r="AC1" s="88">
        <f t="shared" si="1"/>
        <v>45866</v>
      </c>
      <c r="AD1" s="88">
        <f t="shared" si="1"/>
        <v>45867</v>
      </c>
      <c r="AE1" s="88">
        <f t="shared" si="1"/>
        <v>45868</v>
      </c>
      <c r="AF1" s="88">
        <f t="shared" si="1"/>
        <v>45869</v>
      </c>
    </row>
    <row r="2" spans="1:32">
      <c r="A2" s="138"/>
      <c r="B2" s="5">
        <v>45839</v>
      </c>
      <c r="C2" s="5">
        <f t="shared" si="0"/>
        <v>45840</v>
      </c>
      <c r="D2" s="5">
        <f t="shared" si="0"/>
        <v>45841</v>
      </c>
      <c r="E2" s="5">
        <f t="shared" si="0"/>
        <v>45842</v>
      </c>
      <c r="F2" s="5">
        <f t="shared" si="0"/>
        <v>45843</v>
      </c>
      <c r="G2" s="5">
        <f t="shared" si="0"/>
        <v>45844</v>
      </c>
      <c r="H2" s="5">
        <f t="shared" si="0"/>
        <v>45845</v>
      </c>
      <c r="I2" s="5">
        <f t="shared" si="0"/>
        <v>45846</v>
      </c>
      <c r="J2" s="5">
        <f t="shared" si="0"/>
        <v>45847</v>
      </c>
      <c r="K2" s="5">
        <f t="shared" si="0"/>
        <v>45848</v>
      </c>
      <c r="L2" s="5">
        <f t="shared" si="0"/>
        <v>45849</v>
      </c>
      <c r="M2" s="5">
        <f t="shared" si="0"/>
        <v>45850</v>
      </c>
      <c r="N2" s="5">
        <f t="shared" si="0"/>
        <v>45851</v>
      </c>
      <c r="O2" s="5">
        <f t="shared" si="0"/>
        <v>45852</v>
      </c>
      <c r="P2" s="5">
        <f t="shared" si="0"/>
        <v>45853</v>
      </c>
      <c r="Q2" s="5">
        <f t="shared" si="0"/>
        <v>45854</v>
      </c>
      <c r="R2" s="5">
        <f t="shared" si="1"/>
        <v>45855</v>
      </c>
      <c r="S2" s="5">
        <f t="shared" si="1"/>
        <v>45856</v>
      </c>
      <c r="T2" s="5">
        <f t="shared" si="1"/>
        <v>45857</v>
      </c>
      <c r="U2" s="5">
        <f t="shared" si="1"/>
        <v>45858</v>
      </c>
      <c r="V2" s="5">
        <f t="shared" si="1"/>
        <v>45859</v>
      </c>
      <c r="W2" s="5">
        <f t="shared" si="1"/>
        <v>45860</v>
      </c>
      <c r="X2" s="5">
        <f t="shared" si="1"/>
        <v>45861</v>
      </c>
      <c r="Y2" s="89">
        <f t="shared" si="1"/>
        <v>45862</v>
      </c>
      <c r="Z2" s="89">
        <f t="shared" si="1"/>
        <v>45863</v>
      </c>
      <c r="AA2" s="89">
        <f t="shared" si="1"/>
        <v>45864</v>
      </c>
      <c r="AB2" s="89">
        <f t="shared" si="1"/>
        <v>45865</v>
      </c>
      <c r="AC2" s="89">
        <f t="shared" si="1"/>
        <v>45866</v>
      </c>
      <c r="AD2" s="89">
        <f t="shared" si="1"/>
        <v>45867</v>
      </c>
      <c r="AE2" s="89">
        <f t="shared" si="1"/>
        <v>45868</v>
      </c>
      <c r="AF2" s="89">
        <f t="shared" si="1"/>
        <v>45869</v>
      </c>
    </row>
    <row r="3" spans="1:32" ht="13.5" thickBot="1">
      <c r="A3" s="139"/>
      <c r="B3" s="7"/>
      <c r="C3" s="7"/>
      <c r="D3" s="7"/>
      <c r="E3" s="7"/>
      <c r="F3" s="16"/>
      <c r="G3" s="16"/>
      <c r="H3" s="42"/>
      <c r="I3" s="42"/>
      <c r="J3" s="16"/>
      <c r="K3" s="16"/>
      <c r="L3" s="7"/>
      <c r="M3" s="16"/>
      <c r="N3" s="16"/>
      <c r="O3" s="7"/>
      <c r="P3" s="7"/>
      <c r="Q3" s="7"/>
      <c r="R3" s="7"/>
      <c r="S3" s="7"/>
      <c r="T3" s="16"/>
      <c r="U3" s="16"/>
      <c r="V3" s="7"/>
      <c r="W3" s="7"/>
      <c r="X3" s="7"/>
      <c r="Y3" s="7"/>
      <c r="Z3" s="92"/>
      <c r="AA3" s="16"/>
      <c r="AB3" s="16"/>
      <c r="AC3" s="92"/>
      <c r="AD3" s="92"/>
      <c r="AE3" s="92"/>
      <c r="AF3" s="92"/>
    </row>
    <row r="4" spans="1:32" ht="15">
      <c r="A4" s="140" t="s">
        <v>0</v>
      </c>
      <c r="B4" s="1"/>
      <c r="C4" s="1"/>
      <c r="D4" s="1"/>
      <c r="E4" s="1"/>
      <c r="F4" s="55"/>
      <c r="G4" s="41"/>
      <c r="H4" s="25"/>
      <c r="I4" s="25"/>
      <c r="J4" s="14"/>
      <c r="K4" s="14"/>
      <c r="L4" s="1"/>
      <c r="M4" s="14"/>
      <c r="N4" s="41"/>
      <c r="O4" s="30"/>
      <c r="P4" s="30"/>
      <c r="Q4" s="1"/>
      <c r="R4" s="1"/>
      <c r="S4" s="30"/>
      <c r="T4" s="14"/>
      <c r="U4" s="41"/>
      <c r="V4" s="1"/>
      <c r="W4" s="1"/>
      <c r="X4" s="30"/>
      <c r="Y4" s="30"/>
      <c r="Z4" s="30"/>
      <c r="AA4" s="14"/>
      <c r="AB4" s="41"/>
      <c r="AC4" s="30"/>
      <c r="AD4" s="30"/>
      <c r="AE4" s="30"/>
      <c r="AF4" s="30"/>
    </row>
    <row r="5" spans="1:32" ht="15">
      <c r="A5" s="141"/>
      <c r="B5" s="1"/>
      <c r="C5" s="1"/>
      <c r="D5" s="1"/>
      <c r="E5" s="1"/>
      <c r="F5" s="15"/>
      <c r="G5" s="14"/>
      <c r="H5" s="25"/>
      <c r="I5" s="25"/>
      <c r="J5" s="14"/>
      <c r="K5" s="14"/>
      <c r="L5" s="1"/>
      <c r="M5" s="14"/>
      <c r="N5" s="14"/>
      <c r="O5" s="28"/>
      <c r="P5" s="28"/>
      <c r="Q5" s="25"/>
      <c r="R5" s="1"/>
      <c r="S5" s="28"/>
      <c r="T5" s="14"/>
      <c r="U5" s="14"/>
      <c r="V5" s="1"/>
      <c r="W5" s="1"/>
      <c r="X5" s="28"/>
      <c r="Y5" s="71"/>
      <c r="Z5" s="71"/>
      <c r="AA5" s="14"/>
      <c r="AB5" s="14"/>
      <c r="AC5" s="71"/>
      <c r="AD5" s="71"/>
      <c r="AE5" s="71"/>
      <c r="AF5" s="71"/>
    </row>
    <row r="6" spans="1:32" s="37" customFormat="1" ht="15" customHeight="1">
      <c r="A6" s="142" t="s">
        <v>1</v>
      </c>
      <c r="B6" s="179">
        <v>120791</v>
      </c>
      <c r="C6" s="179">
        <v>91281</v>
      </c>
      <c r="D6" s="179">
        <v>125108</v>
      </c>
      <c r="E6" s="179">
        <v>152919</v>
      </c>
      <c r="F6" s="237">
        <v>17685</v>
      </c>
      <c r="G6" s="237"/>
      <c r="H6" s="66">
        <v>211593</v>
      </c>
      <c r="I6" s="66">
        <v>178758</v>
      </c>
      <c r="J6" s="234">
        <v>238993</v>
      </c>
      <c r="K6" s="234"/>
      <c r="L6" s="179">
        <v>117715</v>
      </c>
      <c r="M6" s="237">
        <v>16406</v>
      </c>
      <c r="N6" s="237"/>
      <c r="O6" s="66">
        <v>149079</v>
      </c>
      <c r="P6" s="66">
        <v>170761</v>
      </c>
      <c r="Q6" s="66">
        <v>133962</v>
      </c>
      <c r="R6" s="66">
        <v>121350</v>
      </c>
      <c r="S6" s="66">
        <v>97830</v>
      </c>
      <c r="T6" s="237">
        <v>14791</v>
      </c>
      <c r="U6" s="237"/>
      <c r="V6" s="179">
        <v>159004</v>
      </c>
      <c r="W6" s="179">
        <v>147060</v>
      </c>
      <c r="X6" s="66">
        <v>131722</v>
      </c>
      <c r="Y6" s="136">
        <v>128305</v>
      </c>
      <c r="Z6" s="136">
        <v>117181</v>
      </c>
      <c r="AA6" s="237">
        <v>16826</v>
      </c>
      <c r="AB6" s="237"/>
      <c r="AC6" s="136">
        <v>162600</v>
      </c>
      <c r="AD6" s="136">
        <v>160388</v>
      </c>
      <c r="AE6" s="136">
        <v>135859</v>
      </c>
      <c r="AF6" s="136">
        <v>143417</v>
      </c>
    </row>
    <row r="7" spans="1:32" s="37" customFormat="1" ht="15">
      <c r="A7" s="143"/>
      <c r="B7" s="19"/>
      <c r="C7" s="19"/>
      <c r="D7" s="19"/>
      <c r="E7" s="19"/>
      <c r="F7" s="46"/>
      <c r="G7" s="44"/>
      <c r="H7" s="26"/>
      <c r="I7" s="26"/>
      <c r="J7" s="44"/>
      <c r="K7" s="44"/>
      <c r="L7" s="19"/>
      <c r="M7" s="44"/>
      <c r="N7" s="44"/>
      <c r="O7" s="69"/>
      <c r="P7" s="69"/>
      <c r="Q7" s="26"/>
      <c r="R7" s="19"/>
      <c r="S7" s="69"/>
      <c r="T7" s="44"/>
      <c r="U7" s="44"/>
      <c r="V7" s="19"/>
      <c r="W7" s="19"/>
      <c r="X7" s="69"/>
      <c r="Y7" s="117"/>
      <c r="Z7" s="117"/>
      <c r="AA7" s="44"/>
      <c r="AB7" s="44"/>
      <c r="AC7" s="117"/>
      <c r="AD7" s="117"/>
      <c r="AE7" s="117"/>
      <c r="AF7" s="117"/>
    </row>
    <row r="8" spans="1:32" s="37" customFormat="1" ht="15" customHeight="1">
      <c r="A8" s="143" t="s">
        <v>2</v>
      </c>
      <c r="B8" s="179">
        <v>15455</v>
      </c>
      <c r="C8" s="179">
        <v>16163</v>
      </c>
      <c r="D8" s="179">
        <v>10052</v>
      </c>
      <c r="E8" s="179">
        <v>18596</v>
      </c>
      <c r="F8" s="237">
        <v>37006</v>
      </c>
      <c r="G8" s="237"/>
      <c r="H8" s="66">
        <v>19593</v>
      </c>
      <c r="I8" s="66">
        <v>84639</v>
      </c>
      <c r="J8" s="234">
        <v>111773</v>
      </c>
      <c r="K8" s="234"/>
      <c r="L8" s="179">
        <v>85096</v>
      </c>
      <c r="M8" s="234">
        <v>66797</v>
      </c>
      <c r="N8" s="234"/>
      <c r="O8" s="66">
        <v>49310</v>
      </c>
      <c r="P8" s="66">
        <v>59937</v>
      </c>
      <c r="Q8" s="66">
        <v>77726</v>
      </c>
      <c r="R8" s="179">
        <v>63417</v>
      </c>
      <c r="S8" s="66">
        <v>46123</v>
      </c>
      <c r="T8" s="237">
        <v>38374</v>
      </c>
      <c r="U8" s="237"/>
      <c r="V8" s="66">
        <v>23639</v>
      </c>
      <c r="W8" s="66">
        <v>57040</v>
      </c>
      <c r="X8" s="66">
        <v>56484</v>
      </c>
      <c r="Y8" s="136">
        <v>50627</v>
      </c>
      <c r="Z8" s="136">
        <v>40979</v>
      </c>
      <c r="AA8" s="237">
        <v>38127</v>
      </c>
      <c r="AB8" s="237"/>
      <c r="AC8" s="136">
        <v>22779</v>
      </c>
      <c r="AD8" s="136">
        <v>39167</v>
      </c>
      <c r="AE8" s="136">
        <v>42970</v>
      </c>
      <c r="AF8" s="136">
        <v>33268</v>
      </c>
    </row>
    <row r="9" spans="1:32" ht="15">
      <c r="A9" s="144"/>
      <c r="B9" s="31"/>
      <c r="C9" s="31"/>
      <c r="D9" s="31"/>
      <c r="E9" s="31"/>
      <c r="F9" s="15"/>
      <c r="G9" s="14"/>
      <c r="H9" s="32"/>
      <c r="I9" s="32"/>
      <c r="J9" s="35"/>
      <c r="K9" s="35"/>
      <c r="L9" s="31"/>
      <c r="M9" s="35"/>
      <c r="N9" s="14"/>
      <c r="O9" s="28"/>
      <c r="P9" s="28"/>
      <c r="Q9" s="32"/>
      <c r="R9" s="31"/>
      <c r="S9" s="28"/>
      <c r="T9" s="35"/>
      <c r="U9" s="14"/>
      <c r="V9" s="31"/>
      <c r="W9" s="31"/>
      <c r="X9" s="28"/>
      <c r="Y9" s="71"/>
      <c r="Z9" s="71"/>
      <c r="AA9" s="35"/>
      <c r="AB9" s="14"/>
      <c r="AC9" s="71"/>
      <c r="AD9" s="71"/>
      <c r="AE9" s="71"/>
      <c r="AF9" s="71"/>
    </row>
    <row r="10" spans="1:32" s="37" customFormat="1">
      <c r="A10" s="142" t="s">
        <v>3</v>
      </c>
      <c r="B10" s="180">
        <f t="shared" ref="B10:AF10" si="2">+B6+B8</f>
        <v>136246</v>
      </c>
      <c r="C10" s="180">
        <f t="shared" si="2"/>
        <v>107444</v>
      </c>
      <c r="D10" s="180">
        <f t="shared" si="2"/>
        <v>135160</v>
      </c>
      <c r="E10" s="180">
        <f t="shared" si="2"/>
        <v>171515</v>
      </c>
      <c r="F10" s="239">
        <f t="shared" si="2"/>
        <v>54691</v>
      </c>
      <c r="G10" s="239"/>
      <c r="H10" s="180">
        <f t="shared" si="2"/>
        <v>231186</v>
      </c>
      <c r="I10" s="180">
        <f t="shared" si="2"/>
        <v>263397</v>
      </c>
      <c r="J10" s="244">
        <f t="shared" si="2"/>
        <v>350766</v>
      </c>
      <c r="K10" s="244"/>
      <c r="L10" s="180">
        <f t="shared" si="2"/>
        <v>202811</v>
      </c>
      <c r="M10" s="244">
        <f t="shared" si="2"/>
        <v>83203</v>
      </c>
      <c r="N10" s="244"/>
      <c r="O10" s="180">
        <f t="shared" si="2"/>
        <v>198389</v>
      </c>
      <c r="P10" s="180">
        <f t="shared" si="2"/>
        <v>230698</v>
      </c>
      <c r="Q10" s="180">
        <f t="shared" si="2"/>
        <v>211688</v>
      </c>
      <c r="R10" s="180">
        <f t="shared" si="2"/>
        <v>184767</v>
      </c>
      <c r="S10" s="180">
        <f t="shared" si="2"/>
        <v>143953</v>
      </c>
      <c r="T10" s="244">
        <f t="shared" si="2"/>
        <v>53165</v>
      </c>
      <c r="U10" s="244"/>
      <c r="V10" s="180">
        <f t="shared" si="2"/>
        <v>182643</v>
      </c>
      <c r="W10" s="180">
        <f t="shared" si="2"/>
        <v>204100</v>
      </c>
      <c r="X10" s="180">
        <f t="shared" si="2"/>
        <v>188206</v>
      </c>
      <c r="Y10" s="91">
        <f t="shared" si="2"/>
        <v>178932</v>
      </c>
      <c r="Z10" s="91">
        <f t="shared" si="2"/>
        <v>158160</v>
      </c>
      <c r="AA10" s="244">
        <f t="shared" si="2"/>
        <v>54953</v>
      </c>
      <c r="AB10" s="244">
        <f t="shared" si="2"/>
        <v>0</v>
      </c>
      <c r="AC10" s="91">
        <f t="shared" si="2"/>
        <v>185379</v>
      </c>
      <c r="AD10" s="91">
        <f t="shared" si="2"/>
        <v>199555</v>
      </c>
      <c r="AE10" s="91">
        <f t="shared" si="2"/>
        <v>178829</v>
      </c>
      <c r="AF10" s="91">
        <f t="shared" si="2"/>
        <v>176685</v>
      </c>
    </row>
    <row r="11" spans="1:32" ht="13.5" thickBot="1">
      <c r="A11" s="145"/>
      <c r="B11" s="7"/>
      <c r="C11" s="7"/>
      <c r="D11" s="7"/>
      <c r="E11" s="7"/>
      <c r="F11" s="17"/>
      <c r="G11" s="16"/>
      <c r="H11" s="42"/>
      <c r="I11" s="42"/>
      <c r="J11" s="16"/>
      <c r="K11" s="16"/>
      <c r="L11" s="7"/>
      <c r="M11" s="16"/>
      <c r="N11" s="16"/>
      <c r="O11" s="29"/>
      <c r="P11" s="29"/>
      <c r="Q11" s="7"/>
      <c r="R11" s="7"/>
      <c r="S11" s="29"/>
      <c r="T11" s="16"/>
      <c r="U11" s="16"/>
      <c r="V11" s="7"/>
      <c r="W11" s="7"/>
      <c r="X11" s="29"/>
      <c r="Y11" s="29"/>
      <c r="Z11" s="29"/>
      <c r="AA11" s="16"/>
      <c r="AB11" s="16"/>
      <c r="AC11" s="29"/>
      <c r="AD11" s="29"/>
      <c r="AE11" s="29"/>
      <c r="AF11" s="29"/>
    </row>
    <row r="13" spans="1:32">
      <c r="S13" s="23"/>
    </row>
    <row r="14" spans="1:32">
      <c r="M14" s="23"/>
    </row>
    <row r="15" spans="1:32">
      <c r="B15" s="34"/>
      <c r="H15" s="40"/>
      <c r="I15" s="40"/>
      <c r="J15" s="40"/>
      <c r="K15" s="40"/>
      <c r="L15" s="40"/>
    </row>
    <row r="20" spans="5:5">
      <c r="E20" s="22"/>
    </row>
  </sheetData>
  <mergeCells count="15">
    <mergeCell ref="F10:G10"/>
    <mergeCell ref="M10:N10"/>
    <mergeCell ref="T10:U10"/>
    <mergeCell ref="AA10:AB10"/>
    <mergeCell ref="F6:G6"/>
    <mergeCell ref="M6:N6"/>
    <mergeCell ref="T6:U6"/>
    <mergeCell ref="AA6:AB6"/>
    <mergeCell ref="F8:G8"/>
    <mergeCell ref="M8:N8"/>
    <mergeCell ref="T8:U8"/>
    <mergeCell ref="AA8:AB8"/>
    <mergeCell ref="J6:K6"/>
    <mergeCell ref="J8:K8"/>
    <mergeCell ref="J10:K10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E10" sqref="AE10:AF10"/>
    </sheetView>
  </sheetViews>
  <sheetFormatPr baseColWidth="10" defaultRowHeight="12.75"/>
  <cols>
    <col min="1" max="1" width="11.42578125" style="146"/>
    <col min="2" max="3" width="7.5703125" bestFit="1" customWidth="1"/>
    <col min="4" max="4" width="6.5703125" bestFit="1" customWidth="1"/>
    <col min="5" max="5" width="7.42578125" bestFit="1" customWidth="1"/>
    <col min="6" max="10" width="7.5703125" bestFit="1" customWidth="1"/>
    <col min="11" max="11" width="6.5703125" bestFit="1" customWidth="1"/>
    <col min="12" max="13" width="7.5703125" bestFit="1" customWidth="1"/>
    <col min="14" max="14" width="7.85546875" customWidth="1"/>
    <col min="15" max="17" width="7.5703125" bestFit="1" customWidth="1"/>
    <col min="18" max="18" width="6.5703125" bestFit="1" customWidth="1"/>
    <col min="19" max="29" width="7.5703125" bestFit="1" customWidth="1"/>
    <col min="30" max="30" width="9.28515625" customWidth="1"/>
    <col min="31" max="32" width="8.5703125" customWidth="1"/>
  </cols>
  <sheetData>
    <row r="1" spans="1:32">
      <c r="A1" s="137"/>
      <c r="B1" s="24">
        <v>45870</v>
      </c>
      <c r="C1" s="24">
        <f t="shared" ref="C1:P2" si="0">+B1+1</f>
        <v>45871</v>
      </c>
      <c r="D1" s="24">
        <f t="shared" si="0"/>
        <v>45872</v>
      </c>
      <c r="E1" s="24">
        <f t="shared" si="0"/>
        <v>45873</v>
      </c>
      <c r="F1" s="24">
        <f t="shared" si="0"/>
        <v>45874</v>
      </c>
      <c r="G1" s="24">
        <f t="shared" si="0"/>
        <v>45875</v>
      </c>
      <c r="H1" s="24">
        <f t="shared" si="0"/>
        <v>45876</v>
      </c>
      <c r="I1" s="24">
        <f t="shared" si="0"/>
        <v>45877</v>
      </c>
      <c r="J1" s="24">
        <f t="shared" si="0"/>
        <v>45878</v>
      </c>
      <c r="K1" s="24">
        <f t="shared" si="0"/>
        <v>45879</v>
      </c>
      <c r="L1" s="24">
        <f t="shared" si="0"/>
        <v>45880</v>
      </c>
      <c r="M1" s="24">
        <f t="shared" si="0"/>
        <v>45881</v>
      </c>
      <c r="N1" s="24">
        <f t="shared" si="0"/>
        <v>45882</v>
      </c>
      <c r="O1" s="24">
        <f t="shared" si="0"/>
        <v>45883</v>
      </c>
      <c r="P1" s="24">
        <f t="shared" si="0"/>
        <v>45884</v>
      </c>
      <c r="Q1" s="24">
        <f t="shared" ref="O1:AD2" si="1">+P1+1</f>
        <v>45885</v>
      </c>
      <c r="R1" s="24">
        <f t="shared" si="1"/>
        <v>45886</v>
      </c>
      <c r="S1" s="24">
        <f t="shared" si="1"/>
        <v>45887</v>
      </c>
      <c r="T1" s="24">
        <f t="shared" si="1"/>
        <v>45888</v>
      </c>
      <c r="U1" s="24">
        <f t="shared" si="1"/>
        <v>45889</v>
      </c>
      <c r="V1" s="88">
        <f t="shared" si="1"/>
        <v>45890</v>
      </c>
      <c r="W1" s="88">
        <f t="shared" si="1"/>
        <v>45891</v>
      </c>
      <c r="X1" s="88">
        <f t="shared" si="1"/>
        <v>45892</v>
      </c>
      <c r="Y1" s="88">
        <f t="shared" si="1"/>
        <v>45893</v>
      </c>
      <c r="Z1" s="88">
        <f t="shared" si="1"/>
        <v>45894</v>
      </c>
      <c r="AA1" s="88">
        <f t="shared" si="1"/>
        <v>45895</v>
      </c>
      <c r="AB1" s="88">
        <f t="shared" si="1"/>
        <v>45896</v>
      </c>
      <c r="AC1" s="88">
        <f t="shared" si="1"/>
        <v>45897</v>
      </c>
      <c r="AD1" s="38">
        <f t="shared" si="1"/>
        <v>45898</v>
      </c>
      <c r="AE1" s="88">
        <f t="shared" ref="AE1:AE2" si="2">+AD1+1</f>
        <v>45899</v>
      </c>
      <c r="AF1" s="88">
        <f t="shared" ref="AF1:AF2" si="3">+AE1+1</f>
        <v>45900</v>
      </c>
    </row>
    <row r="2" spans="1:32">
      <c r="A2" s="138"/>
      <c r="B2" s="5">
        <v>45870</v>
      </c>
      <c r="C2" s="5">
        <f t="shared" si="0"/>
        <v>45871</v>
      </c>
      <c r="D2" s="5">
        <f t="shared" si="0"/>
        <v>45872</v>
      </c>
      <c r="E2" s="5">
        <f t="shared" si="0"/>
        <v>45873</v>
      </c>
      <c r="F2" s="5">
        <f t="shared" si="0"/>
        <v>45874</v>
      </c>
      <c r="G2" s="5">
        <f t="shared" si="0"/>
        <v>45875</v>
      </c>
      <c r="H2" s="5">
        <f t="shared" si="0"/>
        <v>45876</v>
      </c>
      <c r="I2" s="5">
        <f t="shared" si="0"/>
        <v>45877</v>
      </c>
      <c r="J2" s="5">
        <f t="shared" si="0"/>
        <v>45878</v>
      </c>
      <c r="K2" s="5">
        <f t="shared" si="0"/>
        <v>45879</v>
      </c>
      <c r="L2" s="5">
        <f t="shared" si="0"/>
        <v>45880</v>
      </c>
      <c r="M2" s="5">
        <f t="shared" si="0"/>
        <v>45881</v>
      </c>
      <c r="N2" s="5">
        <f t="shared" si="0"/>
        <v>45882</v>
      </c>
      <c r="O2" s="5">
        <f t="shared" si="1"/>
        <v>45883</v>
      </c>
      <c r="P2" s="5">
        <f t="shared" si="1"/>
        <v>45884</v>
      </c>
      <c r="Q2" s="5">
        <f t="shared" si="1"/>
        <v>45885</v>
      </c>
      <c r="R2" s="5">
        <f t="shared" si="1"/>
        <v>45886</v>
      </c>
      <c r="S2" s="5">
        <f t="shared" si="1"/>
        <v>45887</v>
      </c>
      <c r="T2" s="5">
        <f t="shared" si="1"/>
        <v>45888</v>
      </c>
      <c r="U2" s="5">
        <f t="shared" si="1"/>
        <v>45889</v>
      </c>
      <c r="V2" s="89">
        <f t="shared" si="1"/>
        <v>45890</v>
      </c>
      <c r="W2" s="89">
        <f t="shared" si="1"/>
        <v>45891</v>
      </c>
      <c r="X2" s="89">
        <f t="shared" si="1"/>
        <v>45892</v>
      </c>
      <c r="Y2" s="89">
        <f t="shared" si="1"/>
        <v>45893</v>
      </c>
      <c r="Z2" s="89">
        <f t="shared" si="1"/>
        <v>45894</v>
      </c>
      <c r="AA2" s="89">
        <f t="shared" si="1"/>
        <v>45895</v>
      </c>
      <c r="AB2" s="89">
        <f t="shared" si="1"/>
        <v>45896</v>
      </c>
      <c r="AC2" s="89">
        <f t="shared" si="1"/>
        <v>45897</v>
      </c>
      <c r="AD2" s="39">
        <f t="shared" si="1"/>
        <v>45898</v>
      </c>
      <c r="AE2" s="89">
        <f t="shared" si="2"/>
        <v>45899</v>
      </c>
      <c r="AF2" s="89">
        <f t="shared" si="3"/>
        <v>45900</v>
      </c>
    </row>
    <row r="3" spans="1:32" ht="13.5" thickBot="1">
      <c r="A3" s="139"/>
      <c r="B3" s="7"/>
      <c r="C3" s="16"/>
      <c r="D3" s="16"/>
      <c r="E3" s="42"/>
      <c r="F3" s="42"/>
      <c r="G3" s="7"/>
      <c r="H3" s="7"/>
      <c r="I3" s="7"/>
      <c r="J3" s="16"/>
      <c r="K3" s="16"/>
      <c r="L3" s="7"/>
      <c r="M3" s="7"/>
      <c r="N3" s="7"/>
      <c r="O3" s="7"/>
      <c r="P3" s="7"/>
      <c r="Q3" s="16"/>
      <c r="R3" s="16"/>
      <c r="S3" s="7"/>
      <c r="T3" s="7"/>
      <c r="U3" s="7"/>
      <c r="V3" s="7"/>
      <c r="W3" s="92"/>
      <c r="X3" s="16"/>
      <c r="Y3" s="16"/>
      <c r="Z3" s="92"/>
      <c r="AA3" s="92"/>
      <c r="AB3" s="92"/>
      <c r="AC3" s="92"/>
      <c r="AD3" s="153"/>
      <c r="AE3" s="16"/>
      <c r="AF3" s="16"/>
    </row>
    <row r="4" spans="1:32" ht="15">
      <c r="A4" s="140" t="s">
        <v>0</v>
      </c>
      <c r="B4" s="1"/>
      <c r="C4" s="55"/>
      <c r="D4" s="41"/>
      <c r="E4" s="25"/>
      <c r="F4" s="25"/>
      <c r="G4" s="1"/>
      <c r="H4" s="1"/>
      <c r="I4" s="1"/>
      <c r="J4" s="14"/>
      <c r="K4" s="41"/>
      <c r="L4" s="30"/>
      <c r="M4" s="30"/>
      <c r="N4" s="1"/>
      <c r="O4" s="1"/>
      <c r="P4" s="30"/>
      <c r="Q4" s="14"/>
      <c r="R4" s="41"/>
      <c r="S4" s="1"/>
      <c r="T4" s="1"/>
      <c r="U4" s="30"/>
      <c r="V4" s="30"/>
      <c r="W4" s="30"/>
      <c r="X4" s="14"/>
      <c r="Y4" s="41"/>
      <c r="Z4" s="30"/>
      <c r="AA4" s="30"/>
      <c r="AB4" s="30"/>
      <c r="AC4" s="30"/>
      <c r="AD4" s="57"/>
      <c r="AE4" s="14"/>
      <c r="AF4" s="41"/>
    </row>
    <row r="5" spans="1:32" ht="15">
      <c r="A5" s="141"/>
      <c r="B5" s="1"/>
      <c r="C5" s="15"/>
      <c r="D5" s="14"/>
      <c r="E5" s="25"/>
      <c r="F5" s="25"/>
      <c r="G5" s="1"/>
      <c r="H5" s="1"/>
      <c r="I5" s="1"/>
      <c r="J5" s="14"/>
      <c r="K5" s="14"/>
      <c r="L5" s="28"/>
      <c r="M5" s="28"/>
      <c r="N5" s="25"/>
      <c r="O5" s="1"/>
      <c r="P5" s="28"/>
      <c r="Q5" s="14"/>
      <c r="R5" s="14"/>
      <c r="S5" s="1"/>
      <c r="T5" s="1"/>
      <c r="U5" s="28"/>
      <c r="V5" s="71"/>
      <c r="W5" s="71"/>
      <c r="X5" s="14"/>
      <c r="Y5" s="14"/>
      <c r="Z5" s="71"/>
      <c r="AA5" s="71"/>
      <c r="AB5" s="71"/>
      <c r="AC5" s="71"/>
      <c r="AD5" s="58"/>
      <c r="AE5" s="14"/>
      <c r="AF5" s="14"/>
    </row>
    <row r="6" spans="1:32" s="37" customFormat="1" ht="15" customHeight="1">
      <c r="A6" s="142" t="s">
        <v>1</v>
      </c>
      <c r="B6" s="183">
        <v>133732</v>
      </c>
      <c r="C6" s="237">
        <v>18221</v>
      </c>
      <c r="D6" s="237"/>
      <c r="E6" s="66">
        <v>195575</v>
      </c>
      <c r="F6" s="66">
        <v>157693</v>
      </c>
      <c r="G6" s="185">
        <v>120509</v>
      </c>
      <c r="H6" s="183">
        <v>154804</v>
      </c>
      <c r="I6" s="183">
        <v>133199</v>
      </c>
      <c r="J6" s="237">
        <v>18770</v>
      </c>
      <c r="K6" s="237"/>
      <c r="L6" s="66">
        <v>184331</v>
      </c>
      <c r="M6" s="66">
        <v>126735</v>
      </c>
      <c r="N6" s="66">
        <v>106723</v>
      </c>
      <c r="O6" s="66">
        <v>123984</v>
      </c>
      <c r="P6" s="66">
        <v>69777</v>
      </c>
      <c r="Q6" s="237">
        <v>13889</v>
      </c>
      <c r="R6" s="237"/>
      <c r="S6" s="183">
        <v>111625</v>
      </c>
      <c r="T6" s="183">
        <v>122301</v>
      </c>
      <c r="U6" s="66">
        <v>133647</v>
      </c>
      <c r="V6" s="136">
        <v>115152</v>
      </c>
      <c r="W6" s="136">
        <v>108066</v>
      </c>
      <c r="X6" s="237">
        <v>21317</v>
      </c>
      <c r="Y6" s="237"/>
      <c r="Z6" s="136">
        <v>183782</v>
      </c>
      <c r="AA6" s="136">
        <v>122696</v>
      </c>
      <c r="AB6" s="136">
        <v>113503</v>
      </c>
      <c r="AC6" s="136">
        <v>119436</v>
      </c>
      <c r="AD6" s="135">
        <v>97797</v>
      </c>
      <c r="AE6" s="237">
        <v>21170</v>
      </c>
      <c r="AF6" s="237"/>
    </row>
    <row r="7" spans="1:32" s="37" customFormat="1" ht="15">
      <c r="A7" s="143"/>
      <c r="B7" s="19"/>
      <c r="C7" s="46"/>
      <c r="D7" s="44"/>
      <c r="E7" s="26"/>
      <c r="F7" s="26"/>
      <c r="G7" s="19"/>
      <c r="H7" s="19"/>
      <c r="I7" s="19"/>
      <c r="J7" s="44"/>
      <c r="K7" s="44"/>
      <c r="L7" s="69"/>
      <c r="M7" s="69"/>
      <c r="N7" s="26"/>
      <c r="O7" s="19"/>
      <c r="P7" s="69"/>
      <c r="Q7" s="44"/>
      <c r="R7" s="44"/>
      <c r="S7" s="19"/>
      <c r="T7" s="19"/>
      <c r="U7" s="69"/>
      <c r="V7" s="117"/>
      <c r="W7" s="117"/>
      <c r="X7" s="44"/>
      <c r="Y7" s="44"/>
      <c r="Z7" s="117"/>
      <c r="AA7" s="117"/>
      <c r="AB7" s="117"/>
      <c r="AC7" s="117"/>
      <c r="AD7" s="154"/>
      <c r="AE7" s="44"/>
      <c r="AF7" s="44"/>
    </row>
    <row r="8" spans="1:32" s="37" customFormat="1" ht="15" customHeight="1">
      <c r="A8" s="143" t="s">
        <v>2</v>
      </c>
      <c r="B8" s="183">
        <v>31584</v>
      </c>
      <c r="C8" s="237">
        <v>42608</v>
      </c>
      <c r="D8" s="237"/>
      <c r="E8" s="66">
        <v>23230</v>
      </c>
      <c r="F8" s="66">
        <v>64772</v>
      </c>
      <c r="G8" s="183">
        <v>57116</v>
      </c>
      <c r="H8" s="183">
        <v>36079</v>
      </c>
      <c r="I8" s="183">
        <v>34936</v>
      </c>
      <c r="J8" s="234">
        <v>39758</v>
      </c>
      <c r="K8" s="234"/>
      <c r="L8" s="66">
        <v>25891</v>
      </c>
      <c r="M8" s="66">
        <v>50905</v>
      </c>
      <c r="N8" s="66">
        <v>38571</v>
      </c>
      <c r="O8" s="183">
        <v>10178</v>
      </c>
      <c r="P8" s="66">
        <v>10976</v>
      </c>
      <c r="Q8" s="258">
        <v>35682</v>
      </c>
      <c r="R8" s="258"/>
      <c r="S8" s="66">
        <v>23564</v>
      </c>
      <c r="T8" s="66">
        <v>31415</v>
      </c>
      <c r="U8" s="66">
        <v>40539</v>
      </c>
      <c r="V8" s="136">
        <v>20393</v>
      </c>
      <c r="W8" s="136">
        <v>19000</v>
      </c>
      <c r="X8" s="237">
        <v>37330</v>
      </c>
      <c r="Y8" s="237"/>
      <c r="Z8" s="136">
        <v>24958</v>
      </c>
      <c r="AA8" s="136">
        <v>35030</v>
      </c>
      <c r="AB8" s="136">
        <v>31729</v>
      </c>
      <c r="AC8" s="136">
        <v>16647</v>
      </c>
      <c r="AD8" s="135">
        <v>13969</v>
      </c>
      <c r="AE8" s="237">
        <v>12989</v>
      </c>
      <c r="AF8" s="237"/>
    </row>
    <row r="9" spans="1:32" ht="15">
      <c r="A9" s="144"/>
      <c r="B9" s="31"/>
      <c r="C9" s="15"/>
      <c r="D9" s="14"/>
      <c r="E9" s="32"/>
      <c r="F9" s="32"/>
      <c r="G9" s="31"/>
      <c r="H9" s="31"/>
      <c r="I9" s="31"/>
      <c r="J9" s="35"/>
      <c r="K9" s="14"/>
      <c r="L9" s="28"/>
      <c r="M9" s="28"/>
      <c r="N9" s="32"/>
      <c r="O9" s="31"/>
      <c r="P9" s="28"/>
      <c r="Q9" s="35"/>
      <c r="R9" s="14"/>
      <c r="S9" s="31"/>
      <c r="T9" s="31"/>
      <c r="U9" s="28"/>
      <c r="V9" s="71"/>
      <c r="W9" s="71"/>
      <c r="X9" s="35"/>
      <c r="Y9" s="14"/>
      <c r="Z9" s="71"/>
      <c r="AA9" s="71"/>
      <c r="AB9" s="71"/>
      <c r="AC9" s="71"/>
      <c r="AD9" s="58"/>
      <c r="AE9" s="35"/>
      <c r="AF9" s="14"/>
    </row>
    <row r="10" spans="1:32" s="37" customFormat="1">
      <c r="A10" s="142" t="s">
        <v>3</v>
      </c>
      <c r="B10" s="184">
        <f t="shared" ref="B10:AC10" si="4">+B6+B8</f>
        <v>165316</v>
      </c>
      <c r="C10" s="239">
        <f t="shared" si="4"/>
        <v>60829</v>
      </c>
      <c r="D10" s="239"/>
      <c r="E10" s="184">
        <f t="shared" si="4"/>
        <v>218805</v>
      </c>
      <c r="F10" s="184">
        <f t="shared" si="4"/>
        <v>222465</v>
      </c>
      <c r="G10" s="184">
        <f t="shared" si="4"/>
        <v>177625</v>
      </c>
      <c r="H10" s="184">
        <f t="shared" si="4"/>
        <v>190883</v>
      </c>
      <c r="I10" s="184">
        <f t="shared" si="4"/>
        <v>168135</v>
      </c>
      <c r="J10" s="244">
        <f t="shared" si="4"/>
        <v>58528</v>
      </c>
      <c r="K10" s="244"/>
      <c r="L10" s="184">
        <f t="shared" si="4"/>
        <v>210222</v>
      </c>
      <c r="M10" s="184">
        <f t="shared" si="4"/>
        <v>177640</v>
      </c>
      <c r="N10" s="184">
        <f t="shared" si="4"/>
        <v>145294</v>
      </c>
      <c r="O10" s="184">
        <f t="shared" si="4"/>
        <v>134162</v>
      </c>
      <c r="P10" s="184">
        <f t="shared" si="4"/>
        <v>80753</v>
      </c>
      <c r="Q10" s="244">
        <f t="shared" si="4"/>
        <v>49571</v>
      </c>
      <c r="R10" s="244"/>
      <c r="S10" s="184">
        <f t="shared" si="4"/>
        <v>135189</v>
      </c>
      <c r="T10" s="184">
        <f t="shared" si="4"/>
        <v>153716</v>
      </c>
      <c r="U10" s="184">
        <f t="shared" si="4"/>
        <v>174186</v>
      </c>
      <c r="V10" s="91">
        <f t="shared" si="4"/>
        <v>135545</v>
      </c>
      <c r="W10" s="91">
        <f t="shared" si="4"/>
        <v>127066</v>
      </c>
      <c r="X10" s="244">
        <f t="shared" si="4"/>
        <v>58647</v>
      </c>
      <c r="Y10" s="244">
        <f t="shared" si="4"/>
        <v>0</v>
      </c>
      <c r="Z10" s="91">
        <f t="shared" si="4"/>
        <v>208740</v>
      </c>
      <c r="AA10" s="91">
        <f t="shared" si="4"/>
        <v>157726</v>
      </c>
      <c r="AB10" s="91">
        <f t="shared" si="4"/>
        <v>145232</v>
      </c>
      <c r="AC10" s="91">
        <f t="shared" si="4"/>
        <v>136083</v>
      </c>
      <c r="AD10" s="60">
        <f>+AD6+AD8</f>
        <v>111766</v>
      </c>
      <c r="AE10" s="244">
        <f t="shared" ref="AE10:AF10" si="5">+AE6+AE8</f>
        <v>34159</v>
      </c>
      <c r="AF10" s="244">
        <f t="shared" si="5"/>
        <v>0</v>
      </c>
    </row>
    <row r="11" spans="1:32" ht="13.5" thickBot="1">
      <c r="A11" s="145"/>
      <c r="B11" s="7"/>
      <c r="C11" s="17"/>
      <c r="D11" s="16"/>
      <c r="E11" s="42"/>
      <c r="F11" s="42"/>
      <c r="G11" s="7"/>
      <c r="H11" s="7"/>
      <c r="I11" s="7"/>
      <c r="J11" s="16"/>
      <c r="K11" s="16"/>
      <c r="L11" s="29"/>
      <c r="M11" s="29"/>
      <c r="N11" s="7"/>
      <c r="O11" s="7"/>
      <c r="P11" s="29"/>
      <c r="Q11" s="16"/>
      <c r="R11" s="16"/>
      <c r="S11" s="7"/>
      <c r="T11" s="7"/>
      <c r="U11" s="29"/>
      <c r="V11" s="29"/>
      <c r="W11" s="29"/>
      <c r="X11" s="16"/>
      <c r="Y11" s="16"/>
      <c r="Z11" s="29"/>
      <c r="AA11" s="29"/>
      <c r="AB11" s="29"/>
      <c r="AC11" s="29"/>
      <c r="AD11" s="61"/>
      <c r="AE11" s="16"/>
      <c r="AF11" s="16"/>
    </row>
    <row r="13" spans="1:32">
      <c r="P13" s="23"/>
    </row>
    <row r="14" spans="1:32">
      <c r="J14" s="23"/>
    </row>
    <row r="15" spans="1:32">
      <c r="E15" s="40"/>
      <c r="F15" s="40"/>
      <c r="G15" s="40"/>
      <c r="H15" s="40"/>
      <c r="I15" s="40"/>
    </row>
    <row r="20" spans="2:2">
      <c r="B20" s="22"/>
    </row>
  </sheetData>
  <mergeCells count="15">
    <mergeCell ref="C10:D10"/>
    <mergeCell ref="J10:K10"/>
    <mergeCell ref="Q10:R10"/>
    <mergeCell ref="X10:Y10"/>
    <mergeCell ref="AE6:AF6"/>
    <mergeCell ref="AE8:AF8"/>
    <mergeCell ref="AE10:AF10"/>
    <mergeCell ref="C6:D6"/>
    <mergeCell ref="J6:K6"/>
    <mergeCell ref="Q6:R6"/>
    <mergeCell ref="X6:Y6"/>
    <mergeCell ref="C8:D8"/>
    <mergeCell ref="J8:K8"/>
    <mergeCell ref="Q8:R8"/>
    <mergeCell ref="X8:Y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E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20" sqref="Q20"/>
    </sheetView>
  </sheetViews>
  <sheetFormatPr baseColWidth="10" defaultRowHeight="12.75"/>
  <cols>
    <col min="2" max="2" width="6.7109375" bestFit="1" customWidth="1"/>
    <col min="3" max="3" width="8" customWidth="1"/>
    <col min="4" max="4" width="7.5703125" bestFit="1" customWidth="1"/>
    <col min="5" max="5" width="7.5703125" customWidth="1"/>
    <col min="6" max="8" width="7.5703125" bestFit="1" customWidth="1"/>
    <col min="9" max="9" width="7.42578125" bestFit="1" customWidth="1"/>
    <col min="10" max="15" width="7.5703125" bestFit="1" customWidth="1"/>
    <col min="16" max="16" width="6.5703125" bestFit="1" customWidth="1"/>
    <col min="17" max="17" width="7.42578125" bestFit="1" customWidth="1"/>
    <col min="18" max="22" width="7.5703125" bestFit="1" customWidth="1"/>
    <col min="23" max="23" width="6.5703125" bestFit="1" customWidth="1"/>
    <col min="24" max="25" width="7.5703125" bestFit="1" customWidth="1"/>
    <col min="26" max="26" width="7.85546875" customWidth="1"/>
    <col min="27" max="27" width="7.5703125" bestFit="1" customWidth="1"/>
    <col min="28" max="29" width="7.42578125" customWidth="1"/>
    <col min="30" max="30" width="8.140625" customWidth="1"/>
  </cols>
  <sheetData>
    <row r="1" spans="1:31">
      <c r="A1" s="2"/>
      <c r="B1" s="24">
        <v>45901</v>
      </c>
      <c r="C1" s="24">
        <f t="shared" ref="C1:Q2" si="0">+B1+1</f>
        <v>45902</v>
      </c>
      <c r="D1" s="24">
        <f t="shared" si="0"/>
        <v>45903</v>
      </c>
      <c r="E1" s="24">
        <f t="shared" si="0"/>
        <v>45904</v>
      </c>
      <c r="F1" s="24">
        <f t="shared" si="0"/>
        <v>45905</v>
      </c>
      <c r="G1" s="24">
        <f t="shared" si="0"/>
        <v>45906</v>
      </c>
      <c r="H1" s="24">
        <f t="shared" si="0"/>
        <v>45907</v>
      </c>
      <c r="I1" s="24">
        <f t="shared" si="0"/>
        <v>45908</v>
      </c>
      <c r="J1" s="24">
        <f t="shared" si="0"/>
        <v>45909</v>
      </c>
      <c r="K1" s="24">
        <f t="shared" si="0"/>
        <v>45910</v>
      </c>
      <c r="L1" s="24">
        <f t="shared" si="0"/>
        <v>45911</v>
      </c>
      <c r="M1" s="24">
        <f t="shared" si="0"/>
        <v>45912</v>
      </c>
      <c r="N1" s="24">
        <f t="shared" si="0"/>
        <v>45913</v>
      </c>
      <c r="O1" s="24">
        <f t="shared" si="0"/>
        <v>45914</v>
      </c>
      <c r="P1" s="24">
        <f t="shared" si="0"/>
        <v>45915</v>
      </c>
      <c r="Q1" s="24">
        <f t="shared" si="0"/>
        <v>45916</v>
      </c>
      <c r="R1" s="24">
        <f t="shared" ref="Q1:AE2" si="1">+Q1+1</f>
        <v>45917</v>
      </c>
      <c r="S1" s="24">
        <f t="shared" si="1"/>
        <v>45918</v>
      </c>
      <c r="T1" s="24">
        <f t="shared" si="1"/>
        <v>45919</v>
      </c>
      <c r="U1" s="24">
        <f t="shared" si="1"/>
        <v>45920</v>
      </c>
      <c r="V1" s="24">
        <f t="shared" si="1"/>
        <v>45921</v>
      </c>
      <c r="W1" s="24">
        <f t="shared" si="1"/>
        <v>45922</v>
      </c>
      <c r="X1" s="24">
        <f t="shared" si="1"/>
        <v>45923</v>
      </c>
      <c r="Y1" s="24">
        <f t="shared" si="1"/>
        <v>45924</v>
      </c>
      <c r="Z1" s="24">
        <f t="shared" si="1"/>
        <v>45925</v>
      </c>
      <c r="AA1" s="24">
        <f t="shared" si="1"/>
        <v>45926</v>
      </c>
      <c r="AB1" s="24">
        <f t="shared" si="1"/>
        <v>45927</v>
      </c>
      <c r="AC1" s="24">
        <f t="shared" si="1"/>
        <v>45928</v>
      </c>
      <c r="AD1" s="24">
        <f t="shared" si="1"/>
        <v>45929</v>
      </c>
      <c r="AE1" s="24">
        <f t="shared" si="1"/>
        <v>45930</v>
      </c>
    </row>
    <row r="2" spans="1:31">
      <c r="A2" s="4"/>
      <c r="B2" s="5">
        <v>45901</v>
      </c>
      <c r="C2" s="5">
        <f t="shared" si="0"/>
        <v>45902</v>
      </c>
      <c r="D2" s="5">
        <f t="shared" si="0"/>
        <v>45903</v>
      </c>
      <c r="E2" s="5">
        <f t="shared" si="0"/>
        <v>45904</v>
      </c>
      <c r="F2" s="5">
        <f t="shared" si="0"/>
        <v>45905</v>
      </c>
      <c r="G2" s="5">
        <f t="shared" si="0"/>
        <v>45906</v>
      </c>
      <c r="H2" s="5">
        <f t="shared" si="0"/>
        <v>45907</v>
      </c>
      <c r="I2" s="5">
        <f t="shared" si="0"/>
        <v>45908</v>
      </c>
      <c r="J2" s="5">
        <f t="shared" si="0"/>
        <v>45909</v>
      </c>
      <c r="K2" s="5">
        <f t="shared" si="0"/>
        <v>45910</v>
      </c>
      <c r="L2" s="5">
        <f t="shared" si="0"/>
        <v>45911</v>
      </c>
      <c r="M2" s="5">
        <f t="shared" si="0"/>
        <v>45912</v>
      </c>
      <c r="N2" s="5">
        <f t="shared" si="0"/>
        <v>45913</v>
      </c>
      <c r="O2" s="5">
        <f t="shared" si="0"/>
        <v>45914</v>
      </c>
      <c r="P2" s="5">
        <f t="shared" si="0"/>
        <v>45915</v>
      </c>
      <c r="Q2" s="5">
        <f t="shared" si="1"/>
        <v>45916</v>
      </c>
      <c r="R2" s="5">
        <f t="shared" si="1"/>
        <v>45917</v>
      </c>
      <c r="S2" s="5">
        <f t="shared" si="1"/>
        <v>45918</v>
      </c>
      <c r="T2" s="5">
        <f t="shared" si="1"/>
        <v>45919</v>
      </c>
      <c r="U2" s="5">
        <f t="shared" si="1"/>
        <v>45920</v>
      </c>
      <c r="V2" s="5">
        <f t="shared" si="1"/>
        <v>45921</v>
      </c>
      <c r="W2" s="5">
        <f t="shared" si="1"/>
        <v>45922</v>
      </c>
      <c r="X2" s="5">
        <f t="shared" si="1"/>
        <v>45923</v>
      </c>
      <c r="Y2" s="5">
        <f t="shared" si="1"/>
        <v>45924</v>
      </c>
      <c r="Z2" s="5">
        <f t="shared" si="1"/>
        <v>45925</v>
      </c>
      <c r="AA2" s="5">
        <f t="shared" si="1"/>
        <v>45926</v>
      </c>
      <c r="AB2" s="5">
        <f t="shared" si="1"/>
        <v>45927</v>
      </c>
      <c r="AC2" s="5">
        <f t="shared" si="1"/>
        <v>45928</v>
      </c>
      <c r="AD2" s="5">
        <f t="shared" si="1"/>
        <v>45929</v>
      </c>
      <c r="AE2" s="5">
        <f t="shared" si="1"/>
        <v>45930</v>
      </c>
    </row>
    <row r="3" spans="1:31" ht="13.5" thickBot="1">
      <c r="A3" s="6"/>
      <c r="B3" s="115"/>
      <c r="C3" s="42"/>
      <c r="D3" s="42"/>
      <c r="E3" s="42"/>
      <c r="F3" s="7"/>
      <c r="G3" s="16"/>
      <c r="H3" s="16"/>
      <c r="I3" s="7"/>
      <c r="J3" s="7"/>
      <c r="K3" s="7"/>
      <c r="L3" s="7"/>
      <c r="M3" s="7"/>
      <c r="N3" s="16"/>
      <c r="O3" s="120"/>
      <c r="P3" s="42"/>
      <c r="Q3" s="42"/>
      <c r="R3" s="42"/>
      <c r="S3" s="7"/>
      <c r="T3" s="7"/>
      <c r="U3" s="16"/>
      <c r="V3" s="16"/>
      <c r="W3" s="42"/>
      <c r="X3" s="7"/>
      <c r="Y3" s="7"/>
      <c r="Z3" s="7"/>
      <c r="AA3" s="7"/>
      <c r="AB3" s="16"/>
      <c r="AC3" s="16"/>
      <c r="AD3" s="42"/>
      <c r="AE3" s="42"/>
    </row>
    <row r="4" spans="1:31" s="113" customFormat="1" ht="12.75" customHeight="1">
      <c r="A4" s="100" t="s">
        <v>0</v>
      </c>
      <c r="B4" s="116"/>
      <c r="C4" s="102"/>
      <c r="D4" s="109"/>
      <c r="E4" s="109"/>
      <c r="F4" s="110"/>
      <c r="G4" s="111"/>
      <c r="H4" s="111"/>
      <c r="I4" s="110"/>
      <c r="J4" s="110"/>
      <c r="K4" s="110"/>
      <c r="L4" s="110"/>
      <c r="M4" s="110"/>
      <c r="N4" s="103"/>
      <c r="O4" s="121"/>
      <c r="P4" s="109"/>
      <c r="Q4" s="109"/>
      <c r="R4" s="109"/>
      <c r="S4" s="110"/>
      <c r="T4" s="110"/>
      <c r="U4" s="112"/>
      <c r="V4" s="111"/>
      <c r="W4" s="125"/>
      <c r="X4" s="104"/>
      <c r="Y4" s="104"/>
      <c r="Z4" s="110"/>
      <c r="AA4" s="110"/>
      <c r="AB4" s="111"/>
      <c r="AC4" s="111"/>
      <c r="AD4" s="150"/>
      <c r="AE4" s="150"/>
    </row>
    <row r="5" spans="1:31" s="113" customFormat="1" ht="12.75" customHeight="1">
      <c r="A5" s="105"/>
      <c r="B5" s="117"/>
      <c r="C5" s="109"/>
      <c r="D5" s="109"/>
      <c r="E5" s="109"/>
      <c r="F5" s="110"/>
      <c r="G5" s="111"/>
      <c r="H5" s="111"/>
      <c r="I5" s="110"/>
      <c r="J5" s="110"/>
      <c r="K5" s="110"/>
      <c r="L5" s="110"/>
      <c r="M5" s="110"/>
      <c r="N5" s="46"/>
      <c r="O5" s="85"/>
      <c r="P5" s="109"/>
      <c r="Q5" s="109"/>
      <c r="R5" s="109"/>
      <c r="S5" s="110"/>
      <c r="T5" s="110"/>
      <c r="U5" s="111"/>
      <c r="V5" s="111"/>
      <c r="W5" s="109"/>
      <c r="X5" s="69"/>
      <c r="Y5" s="69"/>
      <c r="Z5" s="109"/>
      <c r="AA5" s="110"/>
      <c r="AB5" s="111"/>
      <c r="AC5" s="111"/>
      <c r="AD5" s="150"/>
      <c r="AE5" s="150"/>
    </row>
    <row r="6" spans="1:31" s="113" customFormat="1" ht="15" customHeight="1">
      <c r="A6" s="36" t="s">
        <v>1</v>
      </c>
      <c r="B6" s="43">
        <v>161988</v>
      </c>
      <c r="C6" s="109">
        <v>168599</v>
      </c>
      <c r="D6" s="43">
        <v>126461</v>
      </c>
      <c r="E6" s="186">
        <v>139275</v>
      </c>
      <c r="F6" s="186">
        <v>103916</v>
      </c>
      <c r="G6" s="234">
        <v>20012</v>
      </c>
      <c r="H6" s="234"/>
      <c r="I6" s="186">
        <v>140199</v>
      </c>
      <c r="J6" s="186">
        <v>134865</v>
      </c>
      <c r="K6" s="186">
        <v>116335</v>
      </c>
      <c r="L6" s="186">
        <v>118688</v>
      </c>
      <c r="M6" s="186">
        <v>111953</v>
      </c>
      <c r="N6" s="237">
        <v>18443</v>
      </c>
      <c r="O6" s="237"/>
      <c r="P6" s="66">
        <v>132975</v>
      </c>
      <c r="Q6" s="66">
        <v>124205</v>
      </c>
      <c r="R6" s="66">
        <v>121187</v>
      </c>
      <c r="S6" s="186">
        <v>113575</v>
      </c>
      <c r="T6" s="188">
        <v>159130</v>
      </c>
      <c r="U6" s="234">
        <v>15429</v>
      </c>
      <c r="V6" s="234"/>
      <c r="W6" s="66">
        <v>140857</v>
      </c>
      <c r="X6" s="66">
        <v>142936</v>
      </c>
      <c r="Y6" s="66">
        <v>108618</v>
      </c>
      <c r="Z6" s="66">
        <v>135914</v>
      </c>
      <c r="AA6" s="66">
        <v>99375</v>
      </c>
      <c r="AB6" s="237">
        <v>14209</v>
      </c>
      <c r="AC6" s="237"/>
      <c r="AD6" s="136">
        <v>124994</v>
      </c>
      <c r="AE6" s="136">
        <v>94023</v>
      </c>
    </row>
    <row r="7" spans="1:31" s="113" customFormat="1" ht="12.75" customHeight="1">
      <c r="A7" s="87"/>
      <c r="B7" s="117"/>
      <c r="C7" s="109"/>
      <c r="D7" s="109"/>
      <c r="E7" s="109"/>
      <c r="F7" s="110"/>
      <c r="G7" s="111"/>
      <c r="H7" s="111"/>
      <c r="I7" s="110"/>
      <c r="J7" s="110"/>
      <c r="K7" s="110"/>
      <c r="L7" s="110"/>
      <c r="M7" s="110"/>
      <c r="N7" s="46"/>
      <c r="O7" s="85"/>
      <c r="P7" s="109"/>
      <c r="Q7" s="109"/>
      <c r="R7" s="109"/>
      <c r="S7" s="110"/>
      <c r="T7" s="110"/>
      <c r="U7" s="111"/>
      <c r="V7" s="111"/>
      <c r="W7" s="109"/>
      <c r="X7" s="109"/>
      <c r="Y7" s="109"/>
      <c r="Z7" s="109"/>
      <c r="AA7" s="109"/>
      <c r="AB7" s="111"/>
      <c r="AC7" s="111"/>
      <c r="AD7" s="150"/>
      <c r="AE7" s="150"/>
    </row>
    <row r="8" spans="1:31" s="113" customFormat="1" ht="15" customHeight="1">
      <c r="A8" s="87" t="s">
        <v>2</v>
      </c>
      <c r="B8" s="117">
        <v>15252</v>
      </c>
      <c r="C8" s="43">
        <v>43890</v>
      </c>
      <c r="D8" s="43">
        <v>57693</v>
      </c>
      <c r="E8" s="186">
        <v>32544</v>
      </c>
      <c r="F8" s="186">
        <v>28135</v>
      </c>
      <c r="G8" s="234">
        <v>40299</v>
      </c>
      <c r="H8" s="234"/>
      <c r="I8" s="186">
        <v>29319</v>
      </c>
      <c r="J8" s="186">
        <v>32587</v>
      </c>
      <c r="K8" s="186">
        <v>31154</v>
      </c>
      <c r="L8" s="186">
        <v>13548</v>
      </c>
      <c r="M8" s="186">
        <v>13240</v>
      </c>
      <c r="N8" s="237">
        <v>19103</v>
      </c>
      <c r="O8" s="237"/>
      <c r="P8" s="186">
        <v>21681</v>
      </c>
      <c r="Q8" s="186">
        <v>28350</v>
      </c>
      <c r="R8" s="186">
        <v>22454</v>
      </c>
      <c r="S8" s="186">
        <v>19203</v>
      </c>
      <c r="T8" s="188">
        <v>48014</v>
      </c>
      <c r="U8" s="234">
        <v>24295</v>
      </c>
      <c r="V8" s="234"/>
      <c r="W8" s="66">
        <v>18508</v>
      </c>
      <c r="X8" s="66">
        <v>28730</v>
      </c>
      <c r="Y8" s="66">
        <v>46058</v>
      </c>
      <c r="Z8" s="66">
        <v>28718</v>
      </c>
      <c r="AA8" s="66">
        <v>29760</v>
      </c>
      <c r="AB8" s="237">
        <v>17254</v>
      </c>
      <c r="AC8" s="237"/>
      <c r="AD8" s="136">
        <v>15743</v>
      </c>
      <c r="AE8" s="136">
        <v>26141</v>
      </c>
    </row>
    <row r="9" spans="1:31" s="37" customFormat="1" ht="15">
      <c r="A9" s="87"/>
      <c r="B9" s="117"/>
      <c r="C9" s="26"/>
      <c r="D9" s="26"/>
      <c r="E9" s="26"/>
      <c r="F9" s="19"/>
      <c r="G9" s="44"/>
      <c r="H9" s="44"/>
      <c r="I9" s="19"/>
      <c r="J9" s="19"/>
      <c r="K9" s="19"/>
      <c r="L9" s="19"/>
      <c r="M9" s="19"/>
      <c r="N9" s="46"/>
      <c r="O9" s="85"/>
      <c r="P9" s="26"/>
      <c r="Q9" s="26"/>
      <c r="R9" s="26"/>
      <c r="S9" s="19"/>
      <c r="T9" s="19"/>
      <c r="U9" s="44"/>
      <c r="V9" s="44"/>
      <c r="W9" s="26"/>
      <c r="X9" s="69"/>
      <c r="Y9" s="69"/>
      <c r="Z9" s="26"/>
      <c r="AA9" s="19"/>
      <c r="AB9" s="44"/>
      <c r="AC9" s="44"/>
      <c r="AD9" s="151"/>
      <c r="AE9" s="151"/>
    </row>
    <row r="10" spans="1:31" s="37" customFormat="1">
      <c r="A10" s="36" t="s">
        <v>3</v>
      </c>
      <c r="B10" s="131">
        <f t="shared" ref="B10:AB10" si="2">+B6+B8</f>
        <v>177240</v>
      </c>
      <c r="C10" s="187">
        <f t="shared" si="2"/>
        <v>212489</v>
      </c>
      <c r="D10" s="187">
        <f t="shared" si="2"/>
        <v>184154</v>
      </c>
      <c r="E10" s="187">
        <f t="shared" si="2"/>
        <v>171819</v>
      </c>
      <c r="F10" s="187">
        <f t="shared" si="2"/>
        <v>132051</v>
      </c>
      <c r="G10" s="244">
        <f t="shared" si="2"/>
        <v>60311</v>
      </c>
      <c r="H10" s="244"/>
      <c r="I10" s="187">
        <f>+I6+I8</f>
        <v>169518</v>
      </c>
      <c r="J10" s="187">
        <f t="shared" si="2"/>
        <v>167452</v>
      </c>
      <c r="K10" s="187">
        <f t="shared" si="2"/>
        <v>147489</v>
      </c>
      <c r="L10" s="187">
        <f t="shared" si="2"/>
        <v>132236</v>
      </c>
      <c r="M10" s="187">
        <f t="shared" si="2"/>
        <v>125193</v>
      </c>
      <c r="N10" s="239">
        <f>+N6+N8</f>
        <v>37546</v>
      </c>
      <c r="O10" s="239"/>
      <c r="P10" s="187">
        <f t="shared" si="2"/>
        <v>154656</v>
      </c>
      <c r="Q10" s="187">
        <f t="shared" si="2"/>
        <v>152555</v>
      </c>
      <c r="R10" s="187">
        <f t="shared" si="2"/>
        <v>143641</v>
      </c>
      <c r="S10" s="187">
        <f t="shared" si="2"/>
        <v>132778</v>
      </c>
      <c r="T10" s="189">
        <f>+T6+T8</f>
        <v>207144</v>
      </c>
      <c r="U10" s="244">
        <f>+U6+U8</f>
        <v>39724</v>
      </c>
      <c r="V10" s="244"/>
      <c r="W10" s="45">
        <f>+W6+W8</f>
        <v>159365</v>
      </c>
      <c r="X10" s="187">
        <f t="shared" si="2"/>
        <v>171666</v>
      </c>
      <c r="Y10" s="187">
        <f t="shared" si="2"/>
        <v>154676</v>
      </c>
      <c r="Z10" s="187">
        <f>+Z6+Z8</f>
        <v>164632</v>
      </c>
      <c r="AA10" s="187">
        <f t="shared" si="2"/>
        <v>129135</v>
      </c>
      <c r="AB10" s="244">
        <f t="shared" si="2"/>
        <v>31463</v>
      </c>
      <c r="AC10" s="244"/>
      <c r="AD10" s="152">
        <f>+AD6+AD8</f>
        <v>140737</v>
      </c>
      <c r="AE10" s="152">
        <f>+AE6+AE8</f>
        <v>120164</v>
      </c>
    </row>
    <row r="11" spans="1:31" s="37" customFormat="1" ht="13.5" thickBot="1">
      <c r="A11" s="107"/>
      <c r="B11" s="76"/>
      <c r="C11" s="79"/>
      <c r="D11" s="79"/>
      <c r="E11" s="79"/>
      <c r="F11" s="74"/>
      <c r="G11" s="75"/>
      <c r="H11" s="75"/>
      <c r="I11" s="74"/>
      <c r="J11" s="74"/>
      <c r="K11" s="74"/>
      <c r="L11" s="74"/>
      <c r="M11" s="74"/>
      <c r="N11" s="78"/>
      <c r="O11" s="78"/>
      <c r="P11" s="79"/>
      <c r="Q11" s="79"/>
      <c r="R11" s="79"/>
      <c r="S11" s="74"/>
      <c r="T11" s="74"/>
      <c r="U11" s="75"/>
      <c r="V11" s="75"/>
      <c r="W11" s="79"/>
      <c r="X11" s="76"/>
      <c r="Y11" s="76"/>
      <c r="Z11" s="74"/>
      <c r="AA11" s="74"/>
      <c r="AB11" s="75"/>
      <c r="AC11" s="75"/>
      <c r="AD11" s="79"/>
      <c r="AE11" s="79"/>
    </row>
    <row r="13" spans="1:31">
      <c r="I13" s="34"/>
      <c r="J13" s="34"/>
      <c r="K13" s="34"/>
      <c r="L13" s="34"/>
      <c r="AB13" s="23"/>
    </row>
    <row r="14" spans="1:31">
      <c r="V14" s="23"/>
    </row>
    <row r="15" spans="1:31" s="133" customFormat="1" ht="10.5">
      <c r="B15" s="134"/>
      <c r="C15" s="134"/>
      <c r="D15" s="134"/>
      <c r="E15" s="134"/>
      <c r="F15" s="134"/>
      <c r="I15" s="134"/>
      <c r="K15" s="134"/>
      <c r="Q15" s="134"/>
      <c r="R15" s="134"/>
      <c r="S15" s="134"/>
      <c r="T15" s="134"/>
      <c r="U15" s="134"/>
    </row>
    <row r="16" spans="1:31">
      <c r="J16" s="34"/>
    </row>
    <row r="20" spans="14:14">
      <c r="N20" s="22"/>
    </row>
  </sheetData>
  <mergeCells count="12">
    <mergeCell ref="G10:H10"/>
    <mergeCell ref="AB10:AC10"/>
    <mergeCell ref="N6:O6"/>
    <mergeCell ref="N8:O8"/>
    <mergeCell ref="G6:H6"/>
    <mergeCell ref="AB6:AC6"/>
    <mergeCell ref="G8:H8"/>
    <mergeCell ref="AB8:AC8"/>
    <mergeCell ref="N10:O10"/>
    <mergeCell ref="U6:V6"/>
    <mergeCell ref="U8:V8"/>
    <mergeCell ref="U10:V10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baseColWidth="10" defaultRowHeight="12.75"/>
  <cols>
    <col min="2" max="2" width="7.5703125" bestFit="1" customWidth="1"/>
    <col min="3" max="3" width="7.5703125" customWidth="1"/>
    <col min="4" max="6" width="7.5703125" bestFit="1" customWidth="1"/>
    <col min="7" max="7" width="7.42578125" bestFit="1" customWidth="1"/>
    <col min="8" max="13" width="7.5703125" bestFit="1" customWidth="1"/>
    <col min="14" max="14" width="6.5703125" bestFit="1" customWidth="1"/>
    <col min="15" max="15" width="7.42578125" bestFit="1" customWidth="1"/>
    <col min="16" max="20" width="7.5703125" bestFit="1" customWidth="1"/>
    <col min="21" max="21" width="6.5703125" bestFit="1" customWidth="1"/>
    <col min="22" max="23" width="7.5703125" bestFit="1" customWidth="1"/>
    <col min="24" max="24" width="7.85546875" customWidth="1"/>
    <col min="25" max="25" width="7.5703125" bestFit="1" customWidth="1"/>
    <col min="26" max="27" width="7.42578125" customWidth="1"/>
    <col min="28" max="28" width="8.140625" customWidth="1"/>
    <col min="29" max="32" width="11.140625" customWidth="1"/>
  </cols>
  <sheetData>
    <row r="1" spans="1:32">
      <c r="A1" s="2"/>
      <c r="B1" s="24">
        <v>45931</v>
      </c>
      <c r="C1" s="24">
        <f t="shared" ref="C1:P2" si="0">+B1+1</f>
        <v>45932</v>
      </c>
      <c r="D1" s="24">
        <f t="shared" si="0"/>
        <v>45933</v>
      </c>
      <c r="E1" s="24">
        <f t="shared" si="0"/>
        <v>45934</v>
      </c>
      <c r="F1" s="24">
        <f t="shared" si="0"/>
        <v>45935</v>
      </c>
      <c r="G1" s="24">
        <f t="shared" si="0"/>
        <v>45936</v>
      </c>
      <c r="H1" s="24">
        <f t="shared" si="0"/>
        <v>45937</v>
      </c>
      <c r="I1" s="24">
        <f t="shared" si="0"/>
        <v>45938</v>
      </c>
      <c r="J1" s="24">
        <f t="shared" si="0"/>
        <v>45939</v>
      </c>
      <c r="K1" s="24">
        <f t="shared" si="0"/>
        <v>45940</v>
      </c>
      <c r="L1" s="24">
        <f t="shared" si="0"/>
        <v>45941</v>
      </c>
      <c r="M1" s="24">
        <f t="shared" si="0"/>
        <v>45942</v>
      </c>
      <c r="N1" s="24">
        <f t="shared" si="0"/>
        <v>45943</v>
      </c>
      <c r="O1" s="24">
        <f t="shared" si="0"/>
        <v>45944</v>
      </c>
      <c r="P1" s="24">
        <f t="shared" si="0"/>
        <v>45945</v>
      </c>
      <c r="Q1" s="24">
        <f t="shared" ref="O1:AF2" si="1">+P1+1</f>
        <v>45946</v>
      </c>
      <c r="R1" s="24">
        <f t="shared" si="1"/>
        <v>45947</v>
      </c>
      <c r="S1" s="24">
        <f t="shared" si="1"/>
        <v>45948</v>
      </c>
      <c r="T1" s="24">
        <f t="shared" si="1"/>
        <v>45949</v>
      </c>
      <c r="U1" s="24">
        <f t="shared" si="1"/>
        <v>45950</v>
      </c>
      <c r="V1" s="24">
        <f t="shared" si="1"/>
        <v>45951</v>
      </c>
      <c r="W1" s="24">
        <f t="shared" si="1"/>
        <v>45952</v>
      </c>
      <c r="X1" s="24">
        <f t="shared" si="1"/>
        <v>45953</v>
      </c>
      <c r="Y1" s="24">
        <f t="shared" si="1"/>
        <v>45954</v>
      </c>
      <c r="Z1" s="24">
        <f t="shared" si="1"/>
        <v>45955</v>
      </c>
      <c r="AA1" s="24">
        <f t="shared" si="1"/>
        <v>45956</v>
      </c>
      <c r="AB1" s="24">
        <f t="shared" si="1"/>
        <v>45957</v>
      </c>
      <c r="AC1" s="24">
        <f t="shared" si="1"/>
        <v>45958</v>
      </c>
      <c r="AD1" s="24">
        <f t="shared" si="1"/>
        <v>45959</v>
      </c>
      <c r="AE1" s="24">
        <f t="shared" si="1"/>
        <v>45960</v>
      </c>
      <c r="AF1" s="24">
        <f t="shared" si="1"/>
        <v>45961</v>
      </c>
    </row>
    <row r="2" spans="1:32">
      <c r="A2" s="4"/>
      <c r="B2" s="5">
        <v>45931</v>
      </c>
      <c r="C2" s="5">
        <f t="shared" si="0"/>
        <v>45932</v>
      </c>
      <c r="D2" s="5">
        <f t="shared" si="0"/>
        <v>45933</v>
      </c>
      <c r="E2" s="5">
        <f t="shared" si="0"/>
        <v>45934</v>
      </c>
      <c r="F2" s="5">
        <f t="shared" si="0"/>
        <v>45935</v>
      </c>
      <c r="G2" s="5">
        <f t="shared" si="0"/>
        <v>45936</v>
      </c>
      <c r="H2" s="5">
        <f t="shared" si="0"/>
        <v>45937</v>
      </c>
      <c r="I2" s="5">
        <f t="shared" si="0"/>
        <v>45938</v>
      </c>
      <c r="J2" s="5">
        <f t="shared" si="0"/>
        <v>45939</v>
      </c>
      <c r="K2" s="5">
        <f t="shared" si="0"/>
        <v>45940</v>
      </c>
      <c r="L2" s="5">
        <f t="shared" si="0"/>
        <v>45941</v>
      </c>
      <c r="M2" s="5">
        <f t="shared" si="0"/>
        <v>45942</v>
      </c>
      <c r="N2" s="5">
        <f t="shared" si="0"/>
        <v>45943</v>
      </c>
      <c r="O2" s="5">
        <f t="shared" si="1"/>
        <v>45944</v>
      </c>
      <c r="P2" s="5">
        <f t="shared" si="1"/>
        <v>45945</v>
      </c>
      <c r="Q2" s="5">
        <f t="shared" si="1"/>
        <v>45946</v>
      </c>
      <c r="R2" s="5">
        <f t="shared" si="1"/>
        <v>45947</v>
      </c>
      <c r="S2" s="5">
        <f t="shared" si="1"/>
        <v>45948</v>
      </c>
      <c r="T2" s="5">
        <f t="shared" si="1"/>
        <v>45949</v>
      </c>
      <c r="U2" s="5">
        <f t="shared" si="1"/>
        <v>45950</v>
      </c>
      <c r="V2" s="5">
        <f t="shared" si="1"/>
        <v>45951</v>
      </c>
      <c r="W2" s="5">
        <f t="shared" si="1"/>
        <v>45952</v>
      </c>
      <c r="X2" s="5">
        <f t="shared" si="1"/>
        <v>45953</v>
      </c>
      <c r="Y2" s="5">
        <f t="shared" si="1"/>
        <v>45954</v>
      </c>
      <c r="Z2" s="5">
        <f t="shared" si="1"/>
        <v>45955</v>
      </c>
      <c r="AA2" s="5">
        <f t="shared" si="1"/>
        <v>45956</v>
      </c>
      <c r="AB2" s="5">
        <f t="shared" si="1"/>
        <v>45957</v>
      </c>
      <c r="AC2" s="5">
        <f t="shared" si="1"/>
        <v>45958</v>
      </c>
      <c r="AD2" s="5">
        <f t="shared" si="1"/>
        <v>45959</v>
      </c>
      <c r="AE2" s="5">
        <f t="shared" si="1"/>
        <v>45960</v>
      </c>
      <c r="AF2" s="5">
        <f t="shared" si="1"/>
        <v>45961</v>
      </c>
    </row>
    <row r="3" spans="1:32" ht="13.5" thickBot="1">
      <c r="A3" s="6"/>
      <c r="B3" s="42"/>
      <c r="C3" s="42"/>
      <c r="D3" s="7"/>
      <c r="E3" s="16"/>
      <c r="F3" s="16"/>
      <c r="G3" s="7"/>
      <c r="H3" s="7"/>
      <c r="I3" s="7"/>
      <c r="J3" s="7"/>
      <c r="K3" s="16"/>
      <c r="L3" s="16"/>
      <c r="M3" s="120"/>
      <c r="N3" s="42"/>
      <c r="O3" s="42"/>
      <c r="P3" s="42"/>
      <c r="Q3" s="7"/>
      <c r="R3" s="7"/>
      <c r="S3" s="16"/>
      <c r="T3" s="16"/>
      <c r="U3" s="42"/>
      <c r="V3" s="7"/>
      <c r="W3" s="7"/>
      <c r="X3" s="7"/>
      <c r="Y3" s="7"/>
      <c r="Z3" s="16"/>
      <c r="AA3" s="16"/>
      <c r="AB3" s="42"/>
      <c r="AC3" s="42"/>
      <c r="AD3" s="42"/>
      <c r="AE3" s="42"/>
      <c r="AF3" s="42"/>
    </row>
    <row r="4" spans="1:32" s="113" customFormat="1" ht="12.75" customHeight="1">
      <c r="A4" s="100" t="s">
        <v>0</v>
      </c>
      <c r="B4" s="109"/>
      <c r="C4" s="109"/>
      <c r="D4" s="110"/>
      <c r="E4" s="111"/>
      <c r="F4" s="111"/>
      <c r="G4" s="110"/>
      <c r="H4" s="110"/>
      <c r="I4" s="110"/>
      <c r="J4" s="110"/>
      <c r="K4" s="111"/>
      <c r="L4" s="103"/>
      <c r="M4" s="121"/>
      <c r="N4" s="109"/>
      <c r="O4" s="109"/>
      <c r="P4" s="109"/>
      <c r="Q4" s="110"/>
      <c r="R4" s="110"/>
      <c r="S4" s="112"/>
      <c r="T4" s="111"/>
      <c r="U4" s="125"/>
      <c r="V4" s="104"/>
      <c r="W4" s="104"/>
      <c r="X4" s="110"/>
      <c r="Y4" s="110"/>
      <c r="Z4" s="111"/>
      <c r="AA4" s="111"/>
      <c r="AB4" s="150"/>
      <c r="AC4" s="150"/>
      <c r="AD4" s="150"/>
      <c r="AE4" s="150"/>
      <c r="AF4" s="150"/>
    </row>
    <row r="5" spans="1:32" s="113" customFormat="1" ht="12.75" customHeight="1">
      <c r="A5" s="105"/>
      <c r="B5" s="109"/>
      <c r="C5" s="109"/>
      <c r="D5" s="110"/>
      <c r="E5" s="111"/>
      <c r="F5" s="111"/>
      <c r="G5" s="110"/>
      <c r="H5" s="110"/>
      <c r="I5" s="110"/>
      <c r="J5" s="110"/>
      <c r="K5" s="111"/>
      <c r="L5" s="46"/>
      <c r="M5" s="85"/>
      <c r="N5" s="109"/>
      <c r="O5" s="109"/>
      <c r="P5" s="109"/>
      <c r="Q5" s="110"/>
      <c r="R5" s="110"/>
      <c r="S5" s="111"/>
      <c r="T5" s="111"/>
      <c r="U5" s="109"/>
      <c r="V5" s="69"/>
      <c r="W5" s="69"/>
      <c r="X5" s="109"/>
      <c r="Y5" s="110"/>
      <c r="Z5" s="111"/>
      <c r="AA5" s="111"/>
      <c r="AB5" s="150"/>
      <c r="AC5" s="150"/>
      <c r="AD5" s="150"/>
      <c r="AE5" s="150"/>
      <c r="AF5" s="150"/>
    </row>
    <row r="6" spans="1:32" s="113" customFormat="1" ht="15" customHeight="1">
      <c r="A6" s="36" t="s">
        <v>1</v>
      </c>
      <c r="B6" s="109">
        <v>95088</v>
      </c>
      <c r="C6" s="190">
        <v>136250</v>
      </c>
      <c r="D6" s="190">
        <v>122641</v>
      </c>
      <c r="E6" s="234">
        <v>22075</v>
      </c>
      <c r="F6" s="234"/>
      <c r="G6" s="190">
        <v>133923</v>
      </c>
      <c r="H6" s="190">
        <v>147457</v>
      </c>
      <c r="I6" s="190">
        <v>123885</v>
      </c>
      <c r="J6" s="190">
        <v>132564</v>
      </c>
      <c r="K6" s="234">
        <v>128550</v>
      </c>
      <c r="L6" s="234">
        <f>+K8+L8+K9</f>
        <v>49559</v>
      </c>
      <c r="M6" s="234">
        <f>+L8+M8+L9</f>
        <v>0</v>
      </c>
      <c r="N6" s="66">
        <v>125475</v>
      </c>
      <c r="O6" s="66">
        <v>109861</v>
      </c>
      <c r="P6" s="66">
        <v>106677</v>
      </c>
      <c r="Q6" s="190">
        <v>103454</v>
      </c>
      <c r="R6" s="190">
        <v>90667</v>
      </c>
      <c r="S6" s="234">
        <v>11794</v>
      </c>
      <c r="T6" s="234"/>
      <c r="U6" s="66">
        <v>139212</v>
      </c>
      <c r="V6" s="66">
        <v>121689</v>
      </c>
      <c r="W6" s="66">
        <v>123219</v>
      </c>
      <c r="X6" s="66">
        <v>150438</v>
      </c>
      <c r="Y6" s="66">
        <v>122122</v>
      </c>
      <c r="Z6" s="237">
        <v>18033</v>
      </c>
      <c r="AA6" s="237"/>
      <c r="AB6" s="136">
        <v>140351</v>
      </c>
      <c r="AC6" s="136">
        <v>147130</v>
      </c>
      <c r="AD6" s="136">
        <v>131929</v>
      </c>
      <c r="AE6" s="136">
        <v>109919</v>
      </c>
      <c r="AF6" s="136">
        <v>68487</v>
      </c>
    </row>
    <row r="7" spans="1:32" s="113" customFormat="1" ht="12.75" customHeight="1">
      <c r="A7" s="87"/>
      <c r="B7" s="109"/>
      <c r="C7" s="109"/>
      <c r="D7" s="110"/>
      <c r="E7" s="111"/>
      <c r="F7" s="111"/>
      <c r="G7" s="110"/>
      <c r="H7" s="110"/>
      <c r="I7" s="110"/>
      <c r="J7" s="110"/>
      <c r="K7" s="111"/>
      <c r="L7" s="46"/>
      <c r="M7" s="85"/>
      <c r="N7" s="109"/>
      <c r="O7" s="109"/>
      <c r="P7" s="109"/>
      <c r="Q7" s="110"/>
      <c r="R7" s="110"/>
      <c r="S7" s="111"/>
      <c r="T7" s="111"/>
      <c r="U7" s="109"/>
      <c r="V7" s="109"/>
      <c r="W7" s="109"/>
      <c r="X7" s="109"/>
      <c r="Y7" s="109"/>
      <c r="Z7" s="111"/>
      <c r="AA7" s="111"/>
      <c r="AB7" s="150"/>
      <c r="AC7" s="150"/>
      <c r="AD7" s="150"/>
      <c r="AE7" s="150"/>
      <c r="AF7" s="150"/>
    </row>
    <row r="8" spans="1:32" s="113" customFormat="1" ht="15" customHeight="1">
      <c r="A8" s="87" t="s">
        <v>2</v>
      </c>
      <c r="B8" s="43">
        <v>13141</v>
      </c>
      <c r="C8" s="190">
        <v>15405</v>
      </c>
      <c r="D8" s="190">
        <v>21647</v>
      </c>
      <c r="E8" s="234">
        <v>34873</v>
      </c>
      <c r="F8" s="234"/>
      <c r="G8" s="190">
        <v>31789</v>
      </c>
      <c r="H8" s="190">
        <v>41983</v>
      </c>
      <c r="I8" s="190">
        <v>43974</v>
      </c>
      <c r="J8" s="190">
        <v>24615</v>
      </c>
      <c r="K8" s="234">
        <v>49559</v>
      </c>
      <c r="L8" s="234"/>
      <c r="M8" s="234"/>
      <c r="N8" s="190">
        <v>27647</v>
      </c>
      <c r="O8" s="190">
        <v>26714</v>
      </c>
      <c r="P8" s="190">
        <v>14263</v>
      </c>
      <c r="Q8" s="190">
        <v>11366</v>
      </c>
      <c r="R8" s="190">
        <v>18641</v>
      </c>
      <c r="S8" s="234">
        <v>24013</v>
      </c>
      <c r="T8" s="234"/>
      <c r="U8" s="66">
        <v>15687</v>
      </c>
      <c r="V8" s="66">
        <v>26793</v>
      </c>
      <c r="W8" s="66">
        <v>27089</v>
      </c>
      <c r="X8" s="66">
        <v>21508</v>
      </c>
      <c r="Y8" s="66">
        <v>23678</v>
      </c>
      <c r="Z8" s="237">
        <v>36449</v>
      </c>
      <c r="AA8" s="237"/>
      <c r="AB8" s="136">
        <v>22664</v>
      </c>
      <c r="AC8" s="136">
        <v>38474</v>
      </c>
      <c r="AD8" s="136">
        <v>44937</v>
      </c>
      <c r="AE8" s="136">
        <v>43804</v>
      </c>
      <c r="AF8" s="136">
        <v>11232</v>
      </c>
    </row>
    <row r="9" spans="1:32" s="37" customFormat="1" ht="15">
      <c r="A9" s="87"/>
      <c r="B9" s="26"/>
      <c r="C9" s="26"/>
      <c r="D9" s="19"/>
      <c r="E9" s="44"/>
      <c r="F9" s="44"/>
      <c r="G9" s="19"/>
      <c r="H9" s="19"/>
      <c r="I9" s="19"/>
      <c r="J9" s="19"/>
      <c r="K9" s="44"/>
      <c r="L9" s="46"/>
      <c r="M9" s="85"/>
      <c r="N9" s="26"/>
      <c r="O9" s="26"/>
      <c r="P9" s="26"/>
      <c r="Q9" s="19"/>
      <c r="R9" s="19"/>
      <c r="S9" s="44"/>
      <c r="T9" s="44"/>
      <c r="U9" s="26"/>
      <c r="V9" s="69"/>
      <c r="W9" s="69"/>
      <c r="X9" s="26"/>
      <c r="Y9" s="19"/>
      <c r="Z9" s="44"/>
      <c r="AA9" s="44"/>
      <c r="AB9" s="151"/>
      <c r="AC9" s="151"/>
      <c r="AD9" s="151"/>
      <c r="AE9" s="151"/>
      <c r="AF9" s="151"/>
    </row>
    <row r="10" spans="1:32" s="37" customFormat="1">
      <c r="A10" s="36" t="s">
        <v>3</v>
      </c>
      <c r="B10" s="191">
        <f t="shared" ref="B10:Z10" si="2">+B6+B8</f>
        <v>108229</v>
      </c>
      <c r="C10" s="191">
        <f t="shared" si="2"/>
        <v>151655</v>
      </c>
      <c r="D10" s="191">
        <f t="shared" si="2"/>
        <v>144288</v>
      </c>
      <c r="E10" s="244">
        <f t="shared" si="2"/>
        <v>56948</v>
      </c>
      <c r="F10" s="244"/>
      <c r="G10" s="191">
        <f>+G6+G8</f>
        <v>165712</v>
      </c>
      <c r="H10" s="191">
        <f t="shared" si="2"/>
        <v>189440</v>
      </c>
      <c r="I10" s="191">
        <f t="shared" si="2"/>
        <v>167859</v>
      </c>
      <c r="J10" s="191">
        <f t="shared" si="2"/>
        <v>157179</v>
      </c>
      <c r="K10" s="244">
        <f t="shared" si="2"/>
        <v>178109</v>
      </c>
      <c r="L10" s="244"/>
      <c r="M10" s="244"/>
      <c r="N10" s="191">
        <f t="shared" si="2"/>
        <v>153122</v>
      </c>
      <c r="O10" s="191">
        <f t="shared" si="2"/>
        <v>136575</v>
      </c>
      <c r="P10" s="191">
        <f t="shared" si="2"/>
        <v>120940</v>
      </c>
      <c r="Q10" s="191">
        <f t="shared" si="2"/>
        <v>114820</v>
      </c>
      <c r="R10" s="191">
        <f>+R6+R8</f>
        <v>109308</v>
      </c>
      <c r="S10" s="244">
        <f>+S6+S8</f>
        <v>35807</v>
      </c>
      <c r="T10" s="244"/>
      <c r="U10" s="45">
        <f>+U6+U8</f>
        <v>154899</v>
      </c>
      <c r="V10" s="191">
        <f t="shared" si="2"/>
        <v>148482</v>
      </c>
      <c r="W10" s="191">
        <f t="shared" si="2"/>
        <v>150308</v>
      </c>
      <c r="X10" s="191">
        <f>+X6+X8</f>
        <v>171946</v>
      </c>
      <c r="Y10" s="191">
        <f t="shared" si="2"/>
        <v>145800</v>
      </c>
      <c r="Z10" s="244">
        <f t="shared" si="2"/>
        <v>54482</v>
      </c>
      <c r="AA10" s="244"/>
      <c r="AB10" s="152">
        <f>+AB6+AB8</f>
        <v>163015</v>
      </c>
      <c r="AC10" s="152">
        <f>+AC6+AC8</f>
        <v>185604</v>
      </c>
      <c r="AD10" s="152">
        <f>+AD6+AD8</f>
        <v>176866</v>
      </c>
      <c r="AE10" s="152">
        <f>+AE6+AE8</f>
        <v>153723</v>
      </c>
      <c r="AF10" s="152">
        <f>+AF6+AF8</f>
        <v>79719</v>
      </c>
    </row>
    <row r="11" spans="1:32" s="37" customFormat="1" ht="13.5" thickBot="1">
      <c r="A11" s="107"/>
      <c r="B11" s="79"/>
      <c r="C11" s="79"/>
      <c r="D11" s="74"/>
      <c r="E11" s="75"/>
      <c r="F11" s="75"/>
      <c r="G11" s="74"/>
      <c r="H11" s="74"/>
      <c r="I11" s="74"/>
      <c r="J11" s="74"/>
      <c r="K11" s="75"/>
      <c r="L11" s="78"/>
      <c r="M11" s="78"/>
      <c r="N11" s="79"/>
      <c r="O11" s="79"/>
      <c r="P11" s="79"/>
      <c r="Q11" s="74"/>
      <c r="R11" s="74"/>
      <c r="S11" s="75"/>
      <c r="T11" s="75"/>
      <c r="U11" s="79"/>
      <c r="V11" s="76"/>
      <c r="W11" s="76"/>
      <c r="X11" s="74"/>
      <c r="Y11" s="74"/>
      <c r="Z11" s="75"/>
      <c r="AA11" s="75"/>
      <c r="AB11" s="79"/>
      <c r="AC11" s="79"/>
      <c r="AD11" s="79"/>
      <c r="AE11" s="79"/>
      <c r="AF11" s="79"/>
    </row>
    <row r="13" spans="1:32">
      <c r="G13" s="34"/>
      <c r="H13" s="34"/>
      <c r="I13" s="34"/>
      <c r="J13" s="34"/>
      <c r="Z13" s="23"/>
    </row>
    <row r="14" spans="1:32">
      <c r="T14" s="23"/>
    </row>
    <row r="15" spans="1:32" s="133" customFormat="1" ht="10.5">
      <c r="B15" s="134"/>
      <c r="C15" s="134"/>
      <c r="D15" s="134"/>
      <c r="G15" s="134"/>
      <c r="I15" s="134"/>
      <c r="O15" s="134"/>
      <c r="P15" s="134"/>
      <c r="Q15" s="134"/>
      <c r="R15" s="134"/>
      <c r="S15" s="134"/>
    </row>
    <row r="16" spans="1:32">
      <c r="H16" s="34"/>
    </row>
    <row r="20" spans="12:12">
      <c r="L20" s="22"/>
    </row>
  </sheetData>
  <mergeCells count="12">
    <mergeCell ref="E10:F10"/>
    <mergeCell ref="S10:T10"/>
    <mergeCell ref="Z10:AA10"/>
    <mergeCell ref="E6:F6"/>
    <mergeCell ref="S6:T6"/>
    <mergeCell ref="Z6:AA6"/>
    <mergeCell ref="E8:F8"/>
    <mergeCell ref="S8:T8"/>
    <mergeCell ref="Z8:AA8"/>
    <mergeCell ref="K6:M6"/>
    <mergeCell ref="K8:M8"/>
    <mergeCell ref="K10:M10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E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B19" sqref="AB19"/>
    </sheetView>
  </sheetViews>
  <sheetFormatPr baseColWidth="10" defaultRowHeight="12.75"/>
  <cols>
    <col min="2" max="2" width="7.5703125" bestFit="1" customWidth="1"/>
    <col min="3" max="3" width="6.5703125" bestFit="1" customWidth="1"/>
    <col min="4" max="9" width="7.5703125" bestFit="1" customWidth="1"/>
    <col min="10" max="10" width="6.5703125" bestFit="1" customWidth="1"/>
    <col min="11" max="11" width="7.42578125" bestFit="1" customWidth="1"/>
    <col min="12" max="16" width="7.5703125" bestFit="1" customWidth="1"/>
    <col min="17" max="17" width="6.5703125" bestFit="1" customWidth="1"/>
    <col min="18" max="19" width="7.5703125" bestFit="1" customWidth="1"/>
    <col min="20" max="20" width="7.85546875" customWidth="1"/>
    <col min="21" max="23" width="7.5703125" bestFit="1" customWidth="1"/>
    <col min="24" max="24" width="6.5703125" bestFit="1" customWidth="1"/>
    <col min="25" max="29" width="7.5703125" bestFit="1" customWidth="1"/>
    <col min="30" max="30" width="7.85546875" customWidth="1"/>
    <col min="31" max="31" width="10.140625" customWidth="1"/>
  </cols>
  <sheetData>
    <row r="1" spans="1:31">
      <c r="A1" s="2"/>
      <c r="B1" s="24">
        <v>45962</v>
      </c>
      <c r="C1" s="24">
        <f t="shared" ref="C1:R2" si="0">+B1+1</f>
        <v>45963</v>
      </c>
      <c r="D1" s="24">
        <f t="shared" si="0"/>
        <v>45964</v>
      </c>
      <c r="E1" s="24">
        <f t="shared" si="0"/>
        <v>45965</v>
      </c>
      <c r="F1" s="24">
        <f t="shared" si="0"/>
        <v>45966</v>
      </c>
      <c r="G1" s="24">
        <f t="shared" si="0"/>
        <v>45967</v>
      </c>
      <c r="H1" s="24">
        <f t="shared" si="0"/>
        <v>45968</v>
      </c>
      <c r="I1" s="24">
        <f t="shared" si="0"/>
        <v>45969</v>
      </c>
      <c r="J1" s="24">
        <f t="shared" si="0"/>
        <v>45970</v>
      </c>
      <c r="K1" s="24">
        <f t="shared" si="0"/>
        <v>45971</v>
      </c>
      <c r="L1" s="24">
        <f t="shared" si="0"/>
        <v>45972</v>
      </c>
      <c r="M1" s="24">
        <f t="shared" si="0"/>
        <v>45973</v>
      </c>
      <c r="N1" s="24">
        <f t="shared" si="0"/>
        <v>45974</v>
      </c>
      <c r="O1" s="24">
        <f t="shared" si="0"/>
        <v>45975</v>
      </c>
      <c r="P1" s="24">
        <f t="shared" si="0"/>
        <v>45976</v>
      </c>
      <c r="Q1" s="24">
        <f t="shared" si="0"/>
        <v>45977</v>
      </c>
      <c r="R1" s="24">
        <f t="shared" si="0"/>
        <v>45978</v>
      </c>
      <c r="S1" s="24">
        <f t="shared" ref="Q1:AE2" si="1">+R1+1</f>
        <v>45979</v>
      </c>
      <c r="T1" s="24">
        <f t="shared" si="1"/>
        <v>45980</v>
      </c>
      <c r="U1" s="24">
        <f t="shared" si="1"/>
        <v>45981</v>
      </c>
      <c r="V1" s="24">
        <f t="shared" si="1"/>
        <v>45982</v>
      </c>
      <c r="W1" s="24">
        <f t="shared" si="1"/>
        <v>45983</v>
      </c>
      <c r="X1" s="24">
        <f t="shared" si="1"/>
        <v>45984</v>
      </c>
      <c r="Y1" s="24">
        <f t="shared" si="1"/>
        <v>45985</v>
      </c>
      <c r="Z1" s="24">
        <f t="shared" si="1"/>
        <v>45986</v>
      </c>
      <c r="AA1" s="24">
        <f t="shared" si="1"/>
        <v>45987</v>
      </c>
      <c r="AB1" s="24">
        <f t="shared" si="1"/>
        <v>45988</v>
      </c>
      <c r="AC1" s="24">
        <f t="shared" si="1"/>
        <v>45989</v>
      </c>
      <c r="AD1" s="88">
        <f t="shared" si="1"/>
        <v>45990</v>
      </c>
      <c r="AE1" s="38">
        <f t="shared" si="1"/>
        <v>45991</v>
      </c>
    </row>
    <row r="2" spans="1:31">
      <c r="A2" s="4"/>
      <c r="B2" s="5">
        <v>45962</v>
      </c>
      <c r="C2" s="5">
        <f t="shared" si="0"/>
        <v>45963</v>
      </c>
      <c r="D2" s="5">
        <f t="shared" si="0"/>
        <v>45964</v>
      </c>
      <c r="E2" s="5">
        <f t="shared" si="0"/>
        <v>45965</v>
      </c>
      <c r="F2" s="5">
        <f t="shared" si="0"/>
        <v>45966</v>
      </c>
      <c r="G2" s="5">
        <f t="shared" si="0"/>
        <v>45967</v>
      </c>
      <c r="H2" s="5">
        <f t="shared" si="0"/>
        <v>45968</v>
      </c>
      <c r="I2" s="5">
        <f t="shared" si="0"/>
        <v>45969</v>
      </c>
      <c r="J2" s="5">
        <f t="shared" si="0"/>
        <v>45970</v>
      </c>
      <c r="K2" s="5">
        <f t="shared" si="0"/>
        <v>45971</v>
      </c>
      <c r="L2" s="5">
        <f t="shared" si="0"/>
        <v>45972</v>
      </c>
      <c r="M2" s="5">
        <f t="shared" si="0"/>
        <v>45973</v>
      </c>
      <c r="N2" s="5">
        <f t="shared" si="0"/>
        <v>45974</v>
      </c>
      <c r="O2" s="5">
        <f t="shared" si="0"/>
        <v>45975</v>
      </c>
      <c r="P2" s="5">
        <f t="shared" si="0"/>
        <v>45976</v>
      </c>
      <c r="Q2" s="5">
        <f t="shared" si="1"/>
        <v>45977</v>
      </c>
      <c r="R2" s="5">
        <f t="shared" si="1"/>
        <v>45978</v>
      </c>
      <c r="S2" s="5">
        <f t="shared" si="1"/>
        <v>45979</v>
      </c>
      <c r="T2" s="5">
        <f t="shared" si="1"/>
        <v>45980</v>
      </c>
      <c r="U2" s="5">
        <f t="shared" si="1"/>
        <v>45981</v>
      </c>
      <c r="V2" s="5">
        <f t="shared" si="1"/>
        <v>45982</v>
      </c>
      <c r="W2" s="5">
        <f t="shared" si="1"/>
        <v>45983</v>
      </c>
      <c r="X2" s="5">
        <f t="shared" si="1"/>
        <v>45984</v>
      </c>
      <c r="Y2" s="5">
        <f t="shared" si="1"/>
        <v>45985</v>
      </c>
      <c r="Z2" s="5">
        <f t="shared" si="1"/>
        <v>45986</v>
      </c>
      <c r="AA2" s="5">
        <f t="shared" si="1"/>
        <v>45987</v>
      </c>
      <c r="AB2" s="5">
        <f t="shared" si="1"/>
        <v>45988</v>
      </c>
      <c r="AC2" s="5">
        <f t="shared" si="1"/>
        <v>45989</v>
      </c>
      <c r="AD2" s="89">
        <f t="shared" si="1"/>
        <v>45990</v>
      </c>
      <c r="AE2" s="39">
        <f t="shared" si="1"/>
        <v>45991</v>
      </c>
    </row>
    <row r="3" spans="1:31" ht="13.5" thickBot="1">
      <c r="A3" s="6"/>
      <c r="B3" s="16"/>
      <c r="C3" s="16"/>
      <c r="D3" s="7"/>
      <c r="E3" s="7"/>
      <c r="F3" s="7"/>
      <c r="G3" s="7"/>
      <c r="H3" s="7"/>
      <c r="I3" s="16"/>
      <c r="J3" s="16"/>
      <c r="K3" s="42"/>
      <c r="L3" s="42"/>
      <c r="M3" s="7"/>
      <c r="N3" s="7"/>
      <c r="O3" s="7"/>
      <c r="P3" s="16"/>
      <c r="Q3" s="16"/>
      <c r="R3" s="7"/>
      <c r="S3" s="7"/>
      <c r="T3" s="7"/>
      <c r="U3" s="7"/>
      <c r="V3" s="7"/>
      <c r="W3" s="16"/>
      <c r="X3" s="16"/>
      <c r="Y3" s="16"/>
      <c r="Z3" s="7"/>
      <c r="AA3" s="7"/>
      <c r="AB3" s="7"/>
      <c r="AC3" s="7"/>
      <c r="AD3" s="16"/>
      <c r="AE3" s="93"/>
    </row>
    <row r="4" spans="1:31" ht="15">
      <c r="A4" s="9" t="s">
        <v>0</v>
      </c>
      <c r="B4" s="14"/>
      <c r="C4" s="41"/>
      <c r="D4" s="1"/>
      <c r="E4" s="1"/>
      <c r="F4" s="1"/>
      <c r="G4" s="1"/>
      <c r="H4" s="1"/>
      <c r="I4" s="55"/>
      <c r="J4" s="41"/>
      <c r="K4" s="25"/>
      <c r="L4" s="25"/>
      <c r="M4" s="1"/>
      <c r="N4" s="1"/>
      <c r="O4" s="1"/>
      <c r="P4" s="14"/>
      <c r="Q4" s="41"/>
      <c r="R4" s="30"/>
      <c r="S4" s="30"/>
      <c r="T4" s="1"/>
      <c r="U4" s="1"/>
      <c r="V4" s="30"/>
      <c r="W4" s="14"/>
      <c r="X4" s="41"/>
      <c r="Y4" s="14"/>
      <c r="Z4" s="1"/>
      <c r="AA4" s="30"/>
      <c r="AB4" s="30"/>
      <c r="AC4" s="30"/>
      <c r="AD4" s="94"/>
      <c r="AE4" s="95"/>
    </row>
    <row r="5" spans="1:31" ht="15">
      <c r="A5" s="10"/>
      <c r="B5" s="14"/>
      <c r="C5" s="14"/>
      <c r="D5" s="1"/>
      <c r="E5" s="1"/>
      <c r="F5" s="1"/>
      <c r="G5" s="1"/>
      <c r="H5" s="1"/>
      <c r="I5" s="15"/>
      <c r="J5" s="14"/>
      <c r="K5" s="25"/>
      <c r="L5" s="25"/>
      <c r="M5" s="1"/>
      <c r="N5" s="1"/>
      <c r="O5" s="1"/>
      <c r="P5" s="14"/>
      <c r="Q5" s="14"/>
      <c r="R5" s="28"/>
      <c r="S5" s="28"/>
      <c r="T5" s="25"/>
      <c r="U5" s="1"/>
      <c r="V5" s="28"/>
      <c r="W5" s="14"/>
      <c r="X5" s="14"/>
      <c r="Y5" s="14"/>
      <c r="Z5" s="1"/>
      <c r="AA5" s="28"/>
      <c r="AB5" s="28"/>
      <c r="AC5" s="28"/>
      <c r="AD5" s="94"/>
      <c r="AE5" s="96"/>
    </row>
    <row r="6" spans="1:31" ht="15" customHeight="1">
      <c r="A6" s="11" t="s">
        <v>1</v>
      </c>
      <c r="B6" s="234">
        <v>11408</v>
      </c>
      <c r="C6" s="234"/>
      <c r="D6" s="192">
        <v>122472</v>
      </c>
      <c r="E6" s="192">
        <v>147912</v>
      </c>
      <c r="F6" s="192">
        <v>139826</v>
      </c>
      <c r="G6" s="192">
        <v>197862</v>
      </c>
      <c r="H6" s="192">
        <v>132178</v>
      </c>
      <c r="I6" s="237">
        <v>39419</v>
      </c>
      <c r="J6" s="237"/>
      <c r="K6" s="33">
        <v>219579</v>
      </c>
      <c r="L6" s="33">
        <v>160273</v>
      </c>
      <c r="M6" s="47">
        <v>156523</v>
      </c>
      <c r="N6" s="47">
        <v>170100</v>
      </c>
      <c r="O6" s="47">
        <v>113832</v>
      </c>
      <c r="P6" s="245">
        <v>26927</v>
      </c>
      <c r="Q6" s="245"/>
      <c r="R6" s="33">
        <v>153639</v>
      </c>
      <c r="S6" s="33">
        <v>190205</v>
      </c>
      <c r="T6" s="33">
        <v>166801</v>
      </c>
      <c r="U6" s="33">
        <v>169832</v>
      </c>
      <c r="V6" s="33">
        <v>128698</v>
      </c>
      <c r="W6" s="245">
        <v>151523</v>
      </c>
      <c r="X6" s="245"/>
      <c r="Y6" s="245"/>
      <c r="Z6" s="47">
        <v>97692</v>
      </c>
      <c r="AA6" s="33">
        <v>131258</v>
      </c>
      <c r="AB6" s="33">
        <v>154877</v>
      </c>
      <c r="AC6" s="33">
        <v>117484</v>
      </c>
      <c r="AD6" s="249">
        <v>22319</v>
      </c>
      <c r="AE6" s="250"/>
    </row>
    <row r="7" spans="1:31" ht="15">
      <c r="A7" s="12"/>
      <c r="B7" s="44"/>
      <c r="C7" s="44"/>
      <c r="D7" s="19"/>
      <c r="E7" s="19"/>
      <c r="F7" s="19"/>
      <c r="G7" s="19"/>
      <c r="H7" s="19"/>
      <c r="I7" s="46"/>
      <c r="J7" s="44"/>
      <c r="K7" s="32"/>
      <c r="L7" s="32"/>
      <c r="M7" s="31"/>
      <c r="N7" s="31"/>
      <c r="O7" s="31"/>
      <c r="P7" s="35"/>
      <c r="Q7" s="14"/>
      <c r="R7" s="28"/>
      <c r="S7" s="28"/>
      <c r="T7" s="32"/>
      <c r="U7" s="31"/>
      <c r="V7" s="28"/>
      <c r="W7" s="35"/>
      <c r="X7" s="14"/>
      <c r="Y7" s="35"/>
      <c r="Z7" s="31"/>
      <c r="AA7" s="28"/>
      <c r="AB7" s="28"/>
      <c r="AC7" s="28"/>
      <c r="AD7" s="97"/>
      <c r="AE7" s="96"/>
    </row>
    <row r="8" spans="1:31" ht="15" customHeight="1">
      <c r="A8" s="12" t="s">
        <v>2</v>
      </c>
      <c r="B8" s="234">
        <v>5513</v>
      </c>
      <c r="C8" s="234"/>
      <c r="D8" s="192">
        <v>3272</v>
      </c>
      <c r="E8" s="192">
        <v>18102</v>
      </c>
      <c r="F8" s="192">
        <v>36321</v>
      </c>
      <c r="G8" s="192">
        <v>19669</v>
      </c>
      <c r="H8" s="192">
        <v>59510</v>
      </c>
      <c r="I8" s="237">
        <v>76205</v>
      </c>
      <c r="J8" s="237"/>
      <c r="K8" s="33">
        <v>23231</v>
      </c>
      <c r="L8" s="33">
        <v>97898</v>
      </c>
      <c r="M8" s="47">
        <v>105785</v>
      </c>
      <c r="N8" s="47">
        <v>116388</v>
      </c>
      <c r="O8" s="47">
        <v>148490</v>
      </c>
      <c r="P8" s="245">
        <v>140674</v>
      </c>
      <c r="Q8" s="245"/>
      <c r="R8" s="33">
        <v>50720</v>
      </c>
      <c r="S8" s="33">
        <v>61489</v>
      </c>
      <c r="T8" s="33">
        <v>104581</v>
      </c>
      <c r="U8" s="47">
        <v>129074</v>
      </c>
      <c r="V8" s="33">
        <v>166433</v>
      </c>
      <c r="W8" s="245">
        <v>163827</v>
      </c>
      <c r="X8" s="245"/>
      <c r="Y8" s="245"/>
      <c r="Z8" s="33">
        <v>72856</v>
      </c>
      <c r="AA8" s="33">
        <v>36939</v>
      </c>
      <c r="AB8" s="33">
        <v>26246</v>
      </c>
      <c r="AC8" s="33">
        <v>51634</v>
      </c>
      <c r="AD8" s="249">
        <v>31990</v>
      </c>
      <c r="AE8" s="250"/>
    </row>
    <row r="9" spans="1:31" ht="15">
      <c r="A9" s="12"/>
      <c r="B9" s="44"/>
      <c r="C9" s="44"/>
      <c r="D9" s="19"/>
      <c r="E9" s="19"/>
      <c r="F9" s="19"/>
      <c r="G9" s="19"/>
      <c r="H9" s="19"/>
      <c r="I9" s="46"/>
      <c r="J9" s="44"/>
      <c r="K9" s="32"/>
      <c r="L9" s="32"/>
      <c r="M9" s="31"/>
      <c r="N9" s="31"/>
      <c r="O9" s="31"/>
      <c r="P9" s="35"/>
      <c r="Q9" s="14"/>
      <c r="R9" s="28"/>
      <c r="S9" s="28"/>
      <c r="T9" s="32"/>
      <c r="U9" s="31"/>
      <c r="V9" s="28"/>
      <c r="W9" s="35"/>
      <c r="X9" s="14"/>
      <c r="Y9" s="35"/>
      <c r="Z9" s="31"/>
      <c r="AA9" s="28"/>
      <c r="AB9" s="28"/>
      <c r="AC9" s="28"/>
      <c r="AD9" s="97"/>
      <c r="AE9" s="96"/>
    </row>
    <row r="10" spans="1:31" s="37" customFormat="1">
      <c r="A10" s="36" t="s">
        <v>3</v>
      </c>
      <c r="B10" s="244">
        <f>+B6+B8</f>
        <v>16921</v>
      </c>
      <c r="C10" s="244"/>
      <c r="D10" s="193">
        <f t="shared" ref="D10:AC10" si="2">+D6+D8</f>
        <v>125744</v>
      </c>
      <c r="E10" s="193">
        <f t="shared" si="2"/>
        <v>166014</v>
      </c>
      <c r="F10" s="193">
        <f t="shared" si="2"/>
        <v>176147</v>
      </c>
      <c r="G10" s="193">
        <f t="shared" si="2"/>
        <v>217531</v>
      </c>
      <c r="H10" s="193">
        <f t="shared" si="2"/>
        <v>191688</v>
      </c>
      <c r="I10" s="239">
        <f t="shared" si="2"/>
        <v>115624</v>
      </c>
      <c r="J10" s="239"/>
      <c r="K10" s="193">
        <f t="shared" si="2"/>
        <v>242810</v>
      </c>
      <c r="L10" s="193">
        <f t="shared" si="2"/>
        <v>258171</v>
      </c>
      <c r="M10" s="193">
        <f t="shared" si="2"/>
        <v>262308</v>
      </c>
      <c r="N10" s="193">
        <f t="shared" si="2"/>
        <v>286488</v>
      </c>
      <c r="O10" s="193">
        <f t="shared" si="2"/>
        <v>262322</v>
      </c>
      <c r="P10" s="244">
        <f>+P6+P8</f>
        <v>167601</v>
      </c>
      <c r="Q10" s="244"/>
      <c r="R10" s="193">
        <f t="shared" si="2"/>
        <v>204359</v>
      </c>
      <c r="S10" s="193">
        <f t="shared" si="2"/>
        <v>251694</v>
      </c>
      <c r="T10" s="193">
        <f t="shared" si="2"/>
        <v>271382</v>
      </c>
      <c r="U10" s="193">
        <f t="shared" si="2"/>
        <v>298906</v>
      </c>
      <c r="V10" s="193">
        <f t="shared" si="2"/>
        <v>295131</v>
      </c>
      <c r="W10" s="244">
        <f t="shared" si="2"/>
        <v>315350</v>
      </c>
      <c r="X10" s="244"/>
      <c r="Y10" s="244"/>
      <c r="Z10" s="193">
        <f t="shared" si="2"/>
        <v>170548</v>
      </c>
      <c r="AA10" s="193">
        <f t="shared" si="2"/>
        <v>168197</v>
      </c>
      <c r="AB10" s="193">
        <f t="shared" si="2"/>
        <v>181123</v>
      </c>
      <c r="AC10" s="193">
        <f t="shared" si="2"/>
        <v>169118</v>
      </c>
      <c r="AD10" s="251">
        <f>+AD6+AD8</f>
        <v>54309</v>
      </c>
      <c r="AE10" s="252"/>
    </row>
    <row r="11" spans="1:31" ht="13.5" thickBot="1">
      <c r="A11" s="13"/>
      <c r="B11" s="16"/>
      <c r="C11" s="16"/>
      <c r="D11" s="7"/>
      <c r="E11" s="7"/>
      <c r="F11" s="7"/>
      <c r="G11" s="7"/>
      <c r="H11" s="7"/>
      <c r="I11" s="17"/>
      <c r="J11" s="16"/>
      <c r="K11" s="42"/>
      <c r="L11" s="42"/>
      <c r="M11" s="7"/>
      <c r="N11" s="7"/>
      <c r="O11" s="7"/>
      <c r="P11" s="16"/>
      <c r="Q11" s="16"/>
      <c r="R11" s="29"/>
      <c r="S11" s="29"/>
      <c r="T11" s="7"/>
      <c r="U11" s="7"/>
      <c r="V11" s="29"/>
      <c r="W11" s="16"/>
      <c r="X11" s="16"/>
      <c r="Y11" s="16"/>
      <c r="Z11" s="7"/>
      <c r="AA11" s="29"/>
      <c r="AB11" s="29"/>
      <c r="AC11" s="29"/>
      <c r="AD11" s="16"/>
      <c r="AE11" s="93"/>
    </row>
    <row r="13" spans="1:31">
      <c r="V13" s="23"/>
    </row>
    <row r="14" spans="1:31">
      <c r="P14" s="2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</row>
    <row r="15" spans="1:31">
      <c r="E15" s="34"/>
      <c r="K15" s="40"/>
      <c r="L15" s="40"/>
      <c r="M15" s="40"/>
      <c r="N15" s="40"/>
      <c r="O15" s="40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</row>
    <row r="16" spans="1:31">
      <c r="T16" s="133"/>
      <c r="U16" s="133"/>
      <c r="V16" s="133"/>
      <c r="W16" s="133"/>
      <c r="X16" s="133"/>
      <c r="Y16" s="133"/>
      <c r="Z16" s="133"/>
      <c r="AA16" s="133"/>
      <c r="AB16" s="133"/>
      <c r="AC16" s="133"/>
    </row>
    <row r="17" spans="8:29">
      <c r="T17" s="133"/>
      <c r="U17" s="133"/>
      <c r="V17" s="133"/>
      <c r="W17" s="133"/>
      <c r="X17" s="133"/>
      <c r="Y17" s="133"/>
      <c r="Z17" s="133"/>
      <c r="AA17" s="133"/>
      <c r="AB17" s="133"/>
      <c r="AC17" s="133"/>
    </row>
    <row r="20" spans="8:29">
      <c r="H20" s="22"/>
    </row>
  </sheetData>
  <mergeCells count="15">
    <mergeCell ref="B8:C8"/>
    <mergeCell ref="I8:J8"/>
    <mergeCell ref="P8:Q8"/>
    <mergeCell ref="AD8:AE8"/>
    <mergeCell ref="W8:Y8"/>
    <mergeCell ref="B6:C6"/>
    <mergeCell ref="I6:J6"/>
    <mergeCell ref="P6:Q6"/>
    <mergeCell ref="AD6:AE6"/>
    <mergeCell ref="W6:Y6"/>
    <mergeCell ref="B10:C10"/>
    <mergeCell ref="I10:J10"/>
    <mergeCell ref="P10:Q10"/>
    <mergeCell ref="AD10:AE10"/>
    <mergeCell ref="W10:Y10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2.75"/>
  <cols>
    <col min="2" max="2" width="6.7109375" bestFit="1" customWidth="1"/>
    <col min="3" max="3" width="8" customWidth="1"/>
    <col min="4" max="4" width="7.5703125" bestFit="1" customWidth="1"/>
    <col min="5" max="5" width="7.5703125" customWidth="1"/>
    <col min="6" max="8" width="7.5703125" bestFit="1" customWidth="1"/>
    <col min="9" max="9" width="7.42578125" bestFit="1" customWidth="1"/>
    <col min="10" max="15" width="7.5703125" bestFit="1" customWidth="1"/>
    <col min="16" max="16" width="6.5703125" bestFit="1" customWidth="1"/>
    <col min="17" max="17" width="7.42578125" bestFit="1" customWidth="1"/>
    <col min="18" max="22" width="7.5703125" bestFit="1" customWidth="1"/>
    <col min="23" max="23" width="6.5703125" bestFit="1" customWidth="1"/>
    <col min="24" max="25" width="7.5703125" bestFit="1" customWidth="1"/>
    <col min="26" max="26" width="7.85546875" customWidth="1"/>
    <col min="27" max="27" width="7.5703125" bestFit="1" customWidth="1"/>
    <col min="28" max="29" width="7.42578125" customWidth="1"/>
    <col min="30" max="30" width="8.140625" customWidth="1"/>
  </cols>
  <sheetData>
    <row r="1" spans="1:32">
      <c r="A1" s="2"/>
      <c r="B1" s="24">
        <v>45992</v>
      </c>
      <c r="C1" s="24">
        <f t="shared" ref="C1:R2" si="0">+B1+1</f>
        <v>45993</v>
      </c>
      <c r="D1" s="24">
        <f t="shared" si="0"/>
        <v>45994</v>
      </c>
      <c r="E1" s="24">
        <f t="shared" si="0"/>
        <v>45995</v>
      </c>
      <c r="F1" s="24">
        <f t="shared" si="0"/>
        <v>45996</v>
      </c>
      <c r="G1" s="24">
        <f t="shared" si="0"/>
        <v>45997</v>
      </c>
      <c r="H1" s="24">
        <f t="shared" si="0"/>
        <v>45998</v>
      </c>
      <c r="I1" s="24">
        <f t="shared" si="0"/>
        <v>45999</v>
      </c>
      <c r="J1" s="24">
        <f t="shared" si="0"/>
        <v>46000</v>
      </c>
      <c r="K1" s="24">
        <f t="shared" si="0"/>
        <v>46001</v>
      </c>
      <c r="L1" s="24">
        <f t="shared" si="0"/>
        <v>46002</v>
      </c>
      <c r="M1" s="24">
        <f t="shared" si="0"/>
        <v>46003</v>
      </c>
      <c r="N1" s="24">
        <f t="shared" si="0"/>
        <v>46004</v>
      </c>
      <c r="O1" s="24">
        <f t="shared" si="0"/>
        <v>46005</v>
      </c>
      <c r="P1" s="24">
        <f t="shared" si="0"/>
        <v>46006</v>
      </c>
      <c r="Q1" s="24">
        <f t="shared" si="0"/>
        <v>46007</v>
      </c>
      <c r="R1" s="24">
        <f t="shared" si="0"/>
        <v>46008</v>
      </c>
      <c r="S1" s="24">
        <f t="shared" ref="Q1:AF2" si="1">+R1+1</f>
        <v>46009</v>
      </c>
      <c r="T1" s="24">
        <f t="shared" si="1"/>
        <v>46010</v>
      </c>
      <c r="U1" s="24">
        <f t="shared" si="1"/>
        <v>46011</v>
      </c>
      <c r="V1" s="24">
        <f t="shared" si="1"/>
        <v>46012</v>
      </c>
      <c r="W1" s="24">
        <f t="shared" si="1"/>
        <v>46013</v>
      </c>
      <c r="X1" s="24">
        <f t="shared" si="1"/>
        <v>46014</v>
      </c>
      <c r="Y1" s="24">
        <f t="shared" si="1"/>
        <v>46015</v>
      </c>
      <c r="Z1" s="24">
        <f t="shared" si="1"/>
        <v>46016</v>
      </c>
      <c r="AA1" s="24">
        <f t="shared" si="1"/>
        <v>46017</v>
      </c>
      <c r="AB1" s="24">
        <f t="shared" si="1"/>
        <v>46018</v>
      </c>
      <c r="AC1" s="24">
        <f t="shared" si="1"/>
        <v>46019</v>
      </c>
      <c r="AD1" s="24">
        <f t="shared" si="1"/>
        <v>46020</v>
      </c>
      <c r="AE1" s="24">
        <f t="shared" si="1"/>
        <v>46021</v>
      </c>
      <c r="AF1" s="38">
        <f t="shared" si="1"/>
        <v>46022</v>
      </c>
    </row>
    <row r="2" spans="1:32">
      <c r="A2" s="4"/>
      <c r="B2" s="5">
        <v>45992</v>
      </c>
      <c r="C2" s="5">
        <f t="shared" si="0"/>
        <v>45993</v>
      </c>
      <c r="D2" s="5">
        <f t="shared" si="0"/>
        <v>45994</v>
      </c>
      <c r="E2" s="5">
        <f t="shared" si="0"/>
        <v>45995</v>
      </c>
      <c r="F2" s="5">
        <f t="shared" si="0"/>
        <v>45996</v>
      </c>
      <c r="G2" s="5">
        <f t="shared" si="0"/>
        <v>45997</v>
      </c>
      <c r="H2" s="5">
        <f t="shared" si="0"/>
        <v>45998</v>
      </c>
      <c r="I2" s="5">
        <f t="shared" si="0"/>
        <v>45999</v>
      </c>
      <c r="J2" s="5">
        <f t="shared" si="0"/>
        <v>46000</v>
      </c>
      <c r="K2" s="5">
        <f t="shared" si="0"/>
        <v>46001</v>
      </c>
      <c r="L2" s="5">
        <f t="shared" si="0"/>
        <v>46002</v>
      </c>
      <c r="M2" s="5">
        <f t="shared" si="0"/>
        <v>46003</v>
      </c>
      <c r="N2" s="5">
        <f t="shared" si="0"/>
        <v>46004</v>
      </c>
      <c r="O2" s="5">
        <f t="shared" si="0"/>
        <v>46005</v>
      </c>
      <c r="P2" s="5">
        <f t="shared" si="0"/>
        <v>46006</v>
      </c>
      <c r="Q2" s="5">
        <f t="shared" si="1"/>
        <v>46007</v>
      </c>
      <c r="R2" s="5">
        <f t="shared" si="1"/>
        <v>46008</v>
      </c>
      <c r="S2" s="5">
        <f t="shared" si="1"/>
        <v>46009</v>
      </c>
      <c r="T2" s="5">
        <f t="shared" si="1"/>
        <v>46010</v>
      </c>
      <c r="U2" s="5">
        <f t="shared" si="1"/>
        <v>46011</v>
      </c>
      <c r="V2" s="5">
        <f t="shared" si="1"/>
        <v>46012</v>
      </c>
      <c r="W2" s="5">
        <f t="shared" si="1"/>
        <v>46013</v>
      </c>
      <c r="X2" s="5">
        <f t="shared" si="1"/>
        <v>46014</v>
      </c>
      <c r="Y2" s="5">
        <f t="shared" si="1"/>
        <v>46015</v>
      </c>
      <c r="Z2" s="5">
        <f t="shared" si="1"/>
        <v>46016</v>
      </c>
      <c r="AA2" s="5">
        <f t="shared" si="1"/>
        <v>46017</v>
      </c>
      <c r="AB2" s="5">
        <f t="shared" si="1"/>
        <v>46018</v>
      </c>
      <c r="AC2" s="5">
        <f t="shared" si="1"/>
        <v>46019</v>
      </c>
      <c r="AD2" s="5">
        <f t="shared" si="1"/>
        <v>46020</v>
      </c>
      <c r="AE2" s="5">
        <f t="shared" si="1"/>
        <v>46021</v>
      </c>
      <c r="AF2" s="39">
        <f t="shared" si="1"/>
        <v>46022</v>
      </c>
    </row>
    <row r="3" spans="1:32" ht="13.5" thickBot="1">
      <c r="A3" s="6"/>
      <c r="B3" s="115"/>
      <c r="C3" s="42"/>
      <c r="D3" s="42"/>
      <c r="E3" s="42"/>
      <c r="F3" s="7"/>
      <c r="G3" s="16"/>
      <c r="H3" s="16"/>
      <c r="I3" s="16"/>
      <c r="J3" s="7"/>
      <c r="K3" s="7"/>
      <c r="L3" s="7"/>
      <c r="M3" s="7"/>
      <c r="N3" s="16"/>
      <c r="O3" s="120"/>
      <c r="P3" s="16"/>
      <c r="Q3" s="42"/>
      <c r="R3" s="42"/>
      <c r="S3" s="7"/>
      <c r="T3" s="7"/>
      <c r="U3" s="16"/>
      <c r="V3" s="16"/>
      <c r="W3" s="42"/>
      <c r="X3" s="7"/>
      <c r="Y3" s="16"/>
      <c r="Z3" s="16"/>
      <c r="AA3" s="7"/>
      <c r="AB3" s="16"/>
      <c r="AC3" s="16"/>
      <c r="AD3" s="42"/>
      <c r="AE3" s="42"/>
      <c r="AF3" s="126"/>
    </row>
    <row r="4" spans="1:32" s="113" customFormat="1" ht="12.75" customHeight="1">
      <c r="A4" s="100" t="s">
        <v>0</v>
      </c>
      <c r="B4" s="116"/>
      <c r="C4" s="102"/>
      <c r="D4" s="109"/>
      <c r="E4" s="109"/>
      <c r="F4" s="110"/>
      <c r="G4" s="111"/>
      <c r="H4" s="111"/>
      <c r="I4" s="111"/>
      <c r="J4" s="110"/>
      <c r="K4" s="110"/>
      <c r="L4" s="110"/>
      <c r="M4" s="110"/>
      <c r="N4" s="103"/>
      <c r="O4" s="121"/>
      <c r="P4" s="111"/>
      <c r="Q4" s="109"/>
      <c r="R4" s="109"/>
      <c r="S4" s="110"/>
      <c r="T4" s="110"/>
      <c r="U4" s="112"/>
      <c r="V4" s="111"/>
      <c r="W4" s="125"/>
      <c r="X4" s="104"/>
      <c r="Y4" s="103"/>
      <c r="Z4" s="111"/>
      <c r="AA4" s="110"/>
      <c r="AB4" s="111"/>
      <c r="AC4" s="111"/>
      <c r="AD4" s="150"/>
      <c r="AE4" s="150"/>
      <c r="AF4" s="128"/>
    </row>
    <row r="5" spans="1:32" s="113" customFormat="1" ht="12.75" customHeight="1">
      <c r="A5" s="105"/>
      <c r="B5" s="117"/>
      <c r="C5" s="109"/>
      <c r="D5" s="109"/>
      <c r="E5" s="109"/>
      <c r="F5" s="110"/>
      <c r="G5" s="111"/>
      <c r="H5" s="111"/>
      <c r="I5" s="111"/>
      <c r="J5" s="110"/>
      <c r="K5" s="110"/>
      <c r="L5" s="110"/>
      <c r="M5" s="110"/>
      <c r="N5" s="46"/>
      <c r="O5" s="85"/>
      <c r="P5" s="111"/>
      <c r="Q5" s="109"/>
      <c r="R5" s="109"/>
      <c r="S5" s="110"/>
      <c r="T5" s="110"/>
      <c r="U5" s="111"/>
      <c r="V5" s="111"/>
      <c r="W5" s="109"/>
      <c r="X5" s="69"/>
      <c r="Y5" s="46"/>
      <c r="Z5" s="111"/>
      <c r="AA5" s="110"/>
      <c r="AB5" s="111"/>
      <c r="AC5" s="111"/>
      <c r="AD5" s="150"/>
      <c r="AE5" s="150"/>
      <c r="AF5" s="128"/>
    </row>
    <row r="6" spans="1:32" s="113" customFormat="1" ht="15" customHeight="1">
      <c r="A6" s="36" t="s">
        <v>1</v>
      </c>
      <c r="B6" s="43">
        <v>157120</v>
      </c>
      <c r="C6" s="109">
        <v>138573</v>
      </c>
      <c r="D6" s="43">
        <v>155928</v>
      </c>
      <c r="E6" s="194">
        <v>122855</v>
      </c>
      <c r="F6" s="194">
        <v>90036</v>
      </c>
      <c r="G6" s="234">
        <v>21500</v>
      </c>
      <c r="H6" s="234"/>
      <c r="I6" s="234"/>
      <c r="J6" s="194">
        <v>130368</v>
      </c>
      <c r="K6" s="194">
        <v>122154</v>
      </c>
      <c r="L6" s="194">
        <v>142848</v>
      </c>
      <c r="M6" s="194">
        <v>92689</v>
      </c>
      <c r="N6" s="237">
        <v>28806</v>
      </c>
      <c r="O6" s="237"/>
      <c r="P6" s="237"/>
      <c r="Q6" s="66">
        <v>262116</v>
      </c>
      <c r="R6" s="66">
        <v>168269</v>
      </c>
      <c r="S6" s="194">
        <v>145599</v>
      </c>
      <c r="T6" s="194">
        <v>115387</v>
      </c>
      <c r="U6" s="234">
        <v>0</v>
      </c>
      <c r="V6" s="234"/>
      <c r="W6" s="66">
        <v>157450</v>
      </c>
      <c r="X6" s="66">
        <v>138069</v>
      </c>
      <c r="Y6" s="237">
        <v>116132</v>
      </c>
      <c r="Z6" s="237"/>
      <c r="AA6" s="66">
        <v>121227</v>
      </c>
      <c r="AB6" s="237">
        <v>0</v>
      </c>
      <c r="AC6" s="237"/>
      <c r="AD6" s="136">
        <v>135746</v>
      </c>
      <c r="AE6" s="136">
        <v>164893</v>
      </c>
      <c r="AF6" s="135">
        <v>113384</v>
      </c>
    </row>
    <row r="7" spans="1:32" s="113" customFormat="1" ht="12.75" customHeight="1">
      <c r="A7" s="87"/>
      <c r="B7" s="117"/>
      <c r="C7" s="109"/>
      <c r="D7" s="109"/>
      <c r="E7" s="109"/>
      <c r="F7" s="110"/>
      <c r="G7" s="111"/>
      <c r="H7" s="111"/>
      <c r="I7" s="111"/>
      <c r="J7" s="110"/>
      <c r="K7" s="110"/>
      <c r="L7" s="110"/>
      <c r="M7" s="110"/>
      <c r="N7" s="46"/>
      <c r="O7" s="85"/>
      <c r="P7" s="111"/>
      <c r="Q7" s="109"/>
      <c r="R7" s="109"/>
      <c r="S7" s="110"/>
      <c r="T7" s="110"/>
      <c r="U7" s="111"/>
      <c r="V7" s="111"/>
      <c r="W7" s="109"/>
      <c r="X7" s="109"/>
      <c r="Y7" s="111"/>
      <c r="Z7" s="111"/>
      <c r="AA7" s="109"/>
      <c r="AB7" s="111"/>
      <c r="AC7" s="111"/>
      <c r="AD7" s="150"/>
      <c r="AE7" s="150"/>
      <c r="AF7" s="128"/>
    </row>
    <row r="8" spans="1:32" s="113" customFormat="1" ht="15" customHeight="1">
      <c r="A8" s="87" t="s">
        <v>2</v>
      </c>
      <c r="B8" s="117">
        <v>16508</v>
      </c>
      <c r="C8" s="43">
        <v>36097</v>
      </c>
      <c r="D8" s="43">
        <v>34913</v>
      </c>
      <c r="E8" s="194">
        <v>32944</v>
      </c>
      <c r="F8" s="194">
        <v>19502</v>
      </c>
      <c r="G8" s="234">
        <v>13226</v>
      </c>
      <c r="H8" s="234"/>
      <c r="I8" s="234"/>
      <c r="J8" s="194">
        <v>67456</v>
      </c>
      <c r="K8" s="194">
        <v>50149</v>
      </c>
      <c r="L8" s="194">
        <v>34491</v>
      </c>
      <c r="M8" s="194">
        <v>34736</v>
      </c>
      <c r="N8" s="237">
        <v>26284</v>
      </c>
      <c r="O8" s="237"/>
      <c r="P8" s="237"/>
      <c r="Q8" s="194">
        <v>12128</v>
      </c>
      <c r="R8" s="194">
        <v>117590</v>
      </c>
      <c r="S8" s="194">
        <v>130454</v>
      </c>
      <c r="T8" s="194">
        <v>132532</v>
      </c>
      <c r="U8" s="234">
        <v>133734</v>
      </c>
      <c r="V8" s="234"/>
      <c r="W8" s="66">
        <v>46495</v>
      </c>
      <c r="X8" s="66">
        <v>63018</v>
      </c>
      <c r="Y8" s="237">
        <v>109060</v>
      </c>
      <c r="Z8" s="237"/>
      <c r="AA8" s="66">
        <v>161123</v>
      </c>
      <c r="AB8" s="237">
        <v>144708</v>
      </c>
      <c r="AC8" s="237"/>
      <c r="AD8" s="136">
        <v>45841</v>
      </c>
      <c r="AE8" s="136">
        <v>50390</v>
      </c>
      <c r="AF8" s="135">
        <v>97117</v>
      </c>
    </row>
    <row r="9" spans="1:32" s="37" customFormat="1" ht="15">
      <c r="A9" s="87"/>
      <c r="B9" s="117"/>
      <c r="C9" s="26"/>
      <c r="D9" s="26"/>
      <c r="E9" s="26"/>
      <c r="F9" s="19"/>
      <c r="G9" s="44"/>
      <c r="H9" s="44"/>
      <c r="I9" s="44"/>
      <c r="J9" s="19"/>
      <c r="K9" s="19"/>
      <c r="L9" s="19"/>
      <c r="M9" s="19"/>
      <c r="N9" s="46"/>
      <c r="O9" s="85"/>
      <c r="P9" s="44"/>
      <c r="Q9" s="26"/>
      <c r="R9" s="26"/>
      <c r="S9" s="19"/>
      <c r="T9" s="19"/>
      <c r="U9" s="44"/>
      <c r="V9" s="44"/>
      <c r="W9" s="26"/>
      <c r="X9" s="69"/>
      <c r="Y9" s="46"/>
      <c r="Z9" s="44"/>
      <c r="AA9" s="19"/>
      <c r="AB9" s="44"/>
      <c r="AC9" s="44"/>
      <c r="AD9" s="151"/>
      <c r="AE9" s="151"/>
      <c r="AF9" s="129"/>
    </row>
    <row r="10" spans="1:32" s="37" customFormat="1">
      <c r="A10" s="36" t="s">
        <v>3</v>
      </c>
      <c r="B10" s="131">
        <f t="shared" ref="B10:AB10" si="2">+B6+B8</f>
        <v>173628</v>
      </c>
      <c r="C10" s="195">
        <f t="shared" si="2"/>
        <v>174670</v>
      </c>
      <c r="D10" s="195">
        <f t="shared" si="2"/>
        <v>190841</v>
      </c>
      <c r="E10" s="195">
        <f t="shared" si="2"/>
        <v>155799</v>
      </c>
      <c r="F10" s="195">
        <f t="shared" si="2"/>
        <v>109538</v>
      </c>
      <c r="G10" s="244">
        <f t="shared" si="2"/>
        <v>34726</v>
      </c>
      <c r="H10" s="244"/>
      <c r="I10" s="244"/>
      <c r="J10" s="195">
        <f t="shared" si="2"/>
        <v>197824</v>
      </c>
      <c r="K10" s="195">
        <f t="shared" si="2"/>
        <v>172303</v>
      </c>
      <c r="L10" s="195">
        <f t="shared" si="2"/>
        <v>177339</v>
      </c>
      <c r="M10" s="195">
        <f t="shared" si="2"/>
        <v>127425</v>
      </c>
      <c r="N10" s="239">
        <f>+N6+N8</f>
        <v>55090</v>
      </c>
      <c r="O10" s="239"/>
      <c r="P10" s="239"/>
      <c r="Q10" s="195">
        <f t="shared" si="2"/>
        <v>274244</v>
      </c>
      <c r="R10" s="195">
        <f t="shared" si="2"/>
        <v>285859</v>
      </c>
      <c r="S10" s="195">
        <f t="shared" si="2"/>
        <v>276053</v>
      </c>
      <c r="T10" s="195">
        <f>+T6+T8</f>
        <v>247919</v>
      </c>
      <c r="U10" s="244">
        <f>+U6+U8</f>
        <v>133734</v>
      </c>
      <c r="V10" s="244"/>
      <c r="W10" s="45">
        <f>+W6+W8</f>
        <v>203945</v>
      </c>
      <c r="X10" s="195">
        <f t="shared" si="2"/>
        <v>201087</v>
      </c>
      <c r="Y10" s="244">
        <f t="shared" si="2"/>
        <v>225192</v>
      </c>
      <c r="Z10" s="244"/>
      <c r="AA10" s="195">
        <f t="shared" si="2"/>
        <v>282350</v>
      </c>
      <c r="AB10" s="244">
        <f t="shared" si="2"/>
        <v>144708</v>
      </c>
      <c r="AC10" s="244"/>
      <c r="AD10" s="152">
        <f>+AD6+AD8</f>
        <v>181587</v>
      </c>
      <c r="AE10" s="152">
        <f>+AE6+AE8</f>
        <v>215283</v>
      </c>
      <c r="AF10" s="132">
        <f>+AF6+AF8</f>
        <v>210501</v>
      </c>
    </row>
    <row r="11" spans="1:32" s="37" customFormat="1" ht="13.5" thickBot="1">
      <c r="A11" s="107"/>
      <c r="B11" s="76"/>
      <c r="C11" s="79"/>
      <c r="D11" s="79"/>
      <c r="E11" s="79"/>
      <c r="F11" s="74"/>
      <c r="G11" s="75"/>
      <c r="H11" s="75"/>
      <c r="I11" s="75"/>
      <c r="J11" s="74"/>
      <c r="K11" s="74"/>
      <c r="L11" s="74"/>
      <c r="M11" s="74"/>
      <c r="N11" s="78"/>
      <c r="O11" s="78"/>
      <c r="P11" s="75"/>
      <c r="Q11" s="79"/>
      <c r="R11" s="79"/>
      <c r="S11" s="74"/>
      <c r="T11" s="74"/>
      <c r="U11" s="75"/>
      <c r="V11" s="75"/>
      <c r="W11" s="79"/>
      <c r="X11" s="76"/>
      <c r="Y11" s="78"/>
      <c r="Z11" s="75"/>
      <c r="AA11" s="74"/>
      <c r="AB11" s="75"/>
      <c r="AC11" s="75"/>
      <c r="AD11" s="79"/>
      <c r="AE11" s="79"/>
      <c r="AF11" s="130"/>
    </row>
    <row r="13" spans="1:32">
      <c r="I13" s="34"/>
      <c r="J13" s="34"/>
      <c r="K13" s="34"/>
      <c r="L13" s="34"/>
      <c r="AB13" s="23"/>
    </row>
    <row r="14" spans="1:32">
      <c r="V14" s="23"/>
    </row>
    <row r="15" spans="1:32" s="133" customFormat="1" ht="10.5">
      <c r="B15" s="134"/>
      <c r="C15" s="134"/>
      <c r="D15" s="134"/>
      <c r="E15" s="134"/>
      <c r="F15" s="134"/>
      <c r="I15" s="134"/>
      <c r="K15" s="134"/>
      <c r="Q15" s="134"/>
      <c r="R15" s="134"/>
      <c r="S15" s="134"/>
      <c r="T15" s="134"/>
      <c r="U15" s="134"/>
    </row>
    <row r="16" spans="1:32">
      <c r="J16" s="34"/>
    </row>
    <row r="20" spans="14:14">
      <c r="N20" s="22"/>
    </row>
  </sheetData>
  <mergeCells count="15">
    <mergeCell ref="G6:I6"/>
    <mergeCell ref="G8:I8"/>
    <mergeCell ref="G10:I10"/>
    <mergeCell ref="N6:P6"/>
    <mergeCell ref="AB10:AC10"/>
    <mergeCell ref="U6:V6"/>
    <mergeCell ref="AB6:AC6"/>
    <mergeCell ref="U8:V8"/>
    <mergeCell ref="AB8:AC8"/>
    <mergeCell ref="N8:P8"/>
    <mergeCell ref="N10:P10"/>
    <mergeCell ref="Y6:Z6"/>
    <mergeCell ref="Y8:Z8"/>
    <mergeCell ref="Y10:Z10"/>
    <mergeCell ref="U10:V10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F8" sqref="AF8:AG8"/>
    </sheetView>
  </sheetViews>
  <sheetFormatPr baseColWidth="10" defaultRowHeight="12.75"/>
  <cols>
    <col min="2" max="4" width="7.5703125" bestFit="1" customWidth="1"/>
    <col min="5" max="5" width="6.5703125" bestFit="1" customWidth="1"/>
    <col min="6" max="11" width="7.5703125" bestFit="1" customWidth="1"/>
    <col min="12" max="12" width="6.5703125" bestFit="1" customWidth="1"/>
    <col min="13" max="13" width="7.42578125" bestFit="1" customWidth="1"/>
    <col min="14" max="18" width="7.5703125" bestFit="1" customWidth="1"/>
    <col min="19" max="19" width="6.5703125" bestFit="1" customWidth="1"/>
    <col min="20" max="21" width="7.5703125" bestFit="1" customWidth="1"/>
    <col min="22" max="22" width="7.85546875" customWidth="1"/>
    <col min="23" max="25" width="7.5703125" bestFit="1" customWidth="1"/>
    <col min="26" max="26" width="6.5703125" bestFit="1" customWidth="1"/>
    <col min="27" max="33" width="7.5703125" bestFit="1" customWidth="1"/>
  </cols>
  <sheetData>
    <row r="1" spans="1:33">
      <c r="A1" s="2"/>
      <c r="B1" s="24">
        <v>45323</v>
      </c>
      <c r="C1" s="24">
        <f t="shared" ref="C1:R2" si="0">+B1+1</f>
        <v>45324</v>
      </c>
      <c r="D1" s="24">
        <f t="shared" si="0"/>
        <v>45325</v>
      </c>
      <c r="E1" s="24">
        <f t="shared" si="0"/>
        <v>45326</v>
      </c>
      <c r="F1" s="24">
        <f t="shared" si="0"/>
        <v>45327</v>
      </c>
      <c r="G1" s="24">
        <f t="shared" si="0"/>
        <v>45328</v>
      </c>
      <c r="H1" s="24">
        <f t="shared" si="0"/>
        <v>45329</v>
      </c>
      <c r="I1" s="24">
        <f t="shared" si="0"/>
        <v>45330</v>
      </c>
      <c r="J1" s="24">
        <f t="shared" si="0"/>
        <v>45331</v>
      </c>
      <c r="K1" s="24">
        <f t="shared" si="0"/>
        <v>45332</v>
      </c>
      <c r="L1" s="24">
        <f t="shared" si="0"/>
        <v>45333</v>
      </c>
      <c r="M1" s="24">
        <f t="shared" si="0"/>
        <v>45334</v>
      </c>
      <c r="N1" s="24">
        <f t="shared" si="0"/>
        <v>45335</v>
      </c>
      <c r="O1" s="24">
        <f t="shared" si="0"/>
        <v>45336</v>
      </c>
      <c r="P1" s="24">
        <f t="shared" si="0"/>
        <v>45337</v>
      </c>
      <c r="Q1" s="24">
        <f t="shared" si="0"/>
        <v>45338</v>
      </c>
      <c r="R1" s="24">
        <f t="shared" si="0"/>
        <v>45339</v>
      </c>
      <c r="S1" s="24">
        <f t="shared" ref="S1:AE2" si="1">+R1+1</f>
        <v>45340</v>
      </c>
      <c r="T1" s="24">
        <f t="shared" si="1"/>
        <v>45341</v>
      </c>
      <c r="U1" s="24">
        <f t="shared" si="1"/>
        <v>45342</v>
      </c>
      <c r="V1" s="24">
        <f t="shared" si="1"/>
        <v>45343</v>
      </c>
      <c r="W1" s="24">
        <f t="shared" si="1"/>
        <v>45344</v>
      </c>
      <c r="X1" s="24">
        <f t="shared" si="1"/>
        <v>45345</v>
      </c>
      <c r="Y1" s="24">
        <f t="shared" si="1"/>
        <v>45346</v>
      </c>
      <c r="Z1" s="24">
        <f t="shared" si="1"/>
        <v>45347</v>
      </c>
      <c r="AA1" s="24">
        <f t="shared" si="1"/>
        <v>45348</v>
      </c>
      <c r="AB1" s="24">
        <f t="shared" si="1"/>
        <v>45349</v>
      </c>
      <c r="AC1" s="24">
        <f t="shared" si="1"/>
        <v>45350</v>
      </c>
      <c r="AD1" s="38">
        <f t="shared" si="1"/>
        <v>45351</v>
      </c>
      <c r="AE1" s="38">
        <f t="shared" si="1"/>
        <v>45352</v>
      </c>
      <c r="AF1" s="24">
        <f t="shared" ref="AF1:AF2" si="2">+AE1+1</f>
        <v>45353</v>
      </c>
      <c r="AG1" s="24">
        <f t="shared" ref="AG1:AG2" si="3">+AF1+1</f>
        <v>45354</v>
      </c>
    </row>
    <row r="2" spans="1:33">
      <c r="A2" s="4"/>
      <c r="B2" s="5">
        <v>46023</v>
      </c>
      <c r="C2" s="5">
        <f t="shared" si="0"/>
        <v>46024</v>
      </c>
      <c r="D2" s="5">
        <f>+C2+1</f>
        <v>46025</v>
      </c>
      <c r="E2" s="5">
        <f t="shared" si="0"/>
        <v>46026</v>
      </c>
      <c r="F2" s="5">
        <f t="shared" si="0"/>
        <v>46027</v>
      </c>
      <c r="G2" s="5">
        <f t="shared" si="0"/>
        <v>46028</v>
      </c>
      <c r="H2" s="5">
        <f t="shared" si="0"/>
        <v>46029</v>
      </c>
      <c r="I2" s="5">
        <f t="shared" si="0"/>
        <v>46030</v>
      </c>
      <c r="J2" s="5">
        <f t="shared" si="0"/>
        <v>46031</v>
      </c>
      <c r="K2" s="5">
        <f t="shared" si="0"/>
        <v>46032</v>
      </c>
      <c r="L2" s="5">
        <f t="shared" si="0"/>
        <v>46033</v>
      </c>
      <c r="M2" s="5">
        <f t="shared" si="0"/>
        <v>46034</v>
      </c>
      <c r="N2" s="5">
        <f t="shared" si="0"/>
        <v>46035</v>
      </c>
      <c r="O2" s="5">
        <f t="shared" si="0"/>
        <v>46036</v>
      </c>
      <c r="P2" s="5">
        <f t="shared" si="0"/>
        <v>46037</v>
      </c>
      <c r="Q2" s="5">
        <f t="shared" si="0"/>
        <v>46038</v>
      </c>
      <c r="R2" s="5">
        <f t="shared" si="0"/>
        <v>46039</v>
      </c>
      <c r="S2" s="5">
        <f t="shared" si="1"/>
        <v>46040</v>
      </c>
      <c r="T2" s="5">
        <f t="shared" si="1"/>
        <v>46041</v>
      </c>
      <c r="U2" s="5">
        <f t="shared" si="1"/>
        <v>46042</v>
      </c>
      <c r="V2" s="5">
        <f t="shared" si="1"/>
        <v>46043</v>
      </c>
      <c r="W2" s="5">
        <f t="shared" si="1"/>
        <v>46044</v>
      </c>
      <c r="X2" s="5">
        <f t="shared" si="1"/>
        <v>46045</v>
      </c>
      <c r="Y2" s="5">
        <f t="shared" si="1"/>
        <v>46046</v>
      </c>
      <c r="Z2" s="5">
        <f t="shared" si="1"/>
        <v>46047</v>
      </c>
      <c r="AA2" s="5">
        <f t="shared" si="1"/>
        <v>46048</v>
      </c>
      <c r="AB2" s="5">
        <f t="shared" si="1"/>
        <v>46049</v>
      </c>
      <c r="AC2" s="5">
        <f t="shared" si="1"/>
        <v>46050</v>
      </c>
      <c r="AD2" s="39">
        <f t="shared" si="1"/>
        <v>46051</v>
      </c>
      <c r="AE2" s="39">
        <f t="shared" si="1"/>
        <v>46052</v>
      </c>
      <c r="AF2" s="5">
        <f t="shared" si="2"/>
        <v>46053</v>
      </c>
      <c r="AG2" s="5">
        <f t="shared" si="3"/>
        <v>46054</v>
      </c>
    </row>
    <row r="3" spans="1:33" ht="13.5" thickBot="1">
      <c r="A3" s="6"/>
      <c r="B3" s="7"/>
      <c r="C3" s="7"/>
      <c r="D3" s="16"/>
      <c r="E3" s="16"/>
      <c r="F3" s="7"/>
      <c r="G3" s="7"/>
      <c r="H3" s="7"/>
      <c r="I3" s="7"/>
      <c r="J3" s="7"/>
      <c r="K3" s="16"/>
      <c r="L3" s="16"/>
      <c r="M3" s="42"/>
      <c r="N3" s="42"/>
      <c r="O3" s="7"/>
      <c r="P3" s="7"/>
      <c r="Q3" s="7"/>
      <c r="R3" s="16"/>
      <c r="S3" s="16"/>
      <c r="T3" s="7"/>
      <c r="U3" s="7"/>
      <c r="V3" s="7"/>
      <c r="W3" s="7"/>
      <c r="X3" s="7"/>
      <c r="Y3" s="16"/>
      <c r="Z3" s="16"/>
      <c r="AA3" s="7"/>
      <c r="AB3" s="7"/>
      <c r="AC3" s="7"/>
      <c r="AD3" s="56"/>
      <c r="AE3" s="56"/>
      <c r="AF3" s="16"/>
      <c r="AG3" s="16"/>
    </row>
    <row r="4" spans="1:33" ht="15">
      <c r="A4" s="9" t="s">
        <v>0</v>
      </c>
      <c r="B4" s="1"/>
      <c r="C4" s="1"/>
      <c r="D4" s="14"/>
      <c r="E4" s="41"/>
      <c r="F4" s="1"/>
      <c r="G4" s="1"/>
      <c r="H4" s="1"/>
      <c r="I4" s="1"/>
      <c r="J4" s="1"/>
      <c r="K4" s="55"/>
      <c r="L4" s="41"/>
      <c r="M4" s="25"/>
      <c r="N4" s="25"/>
      <c r="O4" s="1"/>
      <c r="P4" s="1"/>
      <c r="Q4" s="1"/>
      <c r="R4" s="14"/>
      <c r="S4" s="41"/>
      <c r="T4" s="30"/>
      <c r="U4" s="30"/>
      <c r="V4" s="1"/>
      <c r="W4" s="1"/>
      <c r="X4" s="30"/>
      <c r="Y4" s="14"/>
      <c r="Z4" s="41"/>
      <c r="AA4" s="1"/>
      <c r="AB4" s="1"/>
      <c r="AC4" s="30"/>
      <c r="AD4" s="57"/>
      <c r="AE4" s="30"/>
      <c r="AF4" s="14"/>
      <c r="AG4" s="41"/>
    </row>
    <row r="5" spans="1:33" ht="15">
      <c r="A5" s="10"/>
      <c r="B5" s="1"/>
      <c r="C5" s="1"/>
      <c r="D5" s="14"/>
      <c r="E5" s="14"/>
      <c r="F5" s="1"/>
      <c r="G5" s="1"/>
      <c r="H5" s="1"/>
      <c r="I5" s="1"/>
      <c r="J5" s="1"/>
      <c r="K5" s="15"/>
      <c r="L5" s="14"/>
      <c r="M5" s="25"/>
      <c r="N5" s="25"/>
      <c r="O5" s="1"/>
      <c r="P5" s="1"/>
      <c r="Q5" s="1"/>
      <c r="R5" s="14"/>
      <c r="S5" s="14"/>
      <c r="T5" s="28"/>
      <c r="U5" s="28"/>
      <c r="V5" s="25"/>
      <c r="W5" s="1"/>
      <c r="X5" s="28"/>
      <c r="Y5" s="14"/>
      <c r="Z5" s="14"/>
      <c r="AA5" s="1"/>
      <c r="AB5" s="1"/>
      <c r="AC5" s="28"/>
      <c r="AD5" s="58"/>
      <c r="AE5" s="28"/>
      <c r="AF5" s="14"/>
      <c r="AG5" s="14"/>
    </row>
    <row r="6" spans="1:33" ht="15" customHeight="1">
      <c r="A6" s="11" t="s">
        <v>1</v>
      </c>
      <c r="B6" s="196">
        <v>0</v>
      </c>
      <c r="C6" s="196">
        <v>71733</v>
      </c>
      <c r="D6" s="234">
        <v>0</v>
      </c>
      <c r="E6" s="234"/>
      <c r="F6" s="196">
        <v>109784</v>
      </c>
      <c r="G6" s="196">
        <v>130680</v>
      </c>
      <c r="H6" s="196">
        <v>116015</v>
      </c>
      <c r="I6" s="196">
        <v>135407</v>
      </c>
      <c r="J6" s="196">
        <v>115745</v>
      </c>
      <c r="K6" s="245">
        <v>0</v>
      </c>
      <c r="L6" s="245"/>
      <c r="M6" s="33">
        <v>157131</v>
      </c>
      <c r="N6" s="33">
        <v>157518</v>
      </c>
      <c r="O6" s="47">
        <v>118576</v>
      </c>
      <c r="P6" s="47">
        <v>108886</v>
      </c>
      <c r="Q6" s="47">
        <v>119040</v>
      </c>
      <c r="R6" s="245">
        <v>0</v>
      </c>
      <c r="S6" s="245"/>
      <c r="T6" s="33">
        <v>140852</v>
      </c>
      <c r="U6" s="33">
        <v>124428</v>
      </c>
      <c r="V6" s="33">
        <v>116427</v>
      </c>
      <c r="W6" s="33">
        <v>117113</v>
      </c>
      <c r="X6" s="33">
        <v>116800</v>
      </c>
      <c r="Y6" s="245">
        <v>0</v>
      </c>
      <c r="Z6" s="245"/>
      <c r="AA6" s="47">
        <v>110653</v>
      </c>
      <c r="AB6" s="47">
        <v>134453</v>
      </c>
      <c r="AC6" s="33">
        <v>101774</v>
      </c>
      <c r="AD6" s="59">
        <v>116495</v>
      </c>
      <c r="AE6" s="33">
        <v>129137</v>
      </c>
      <c r="AF6" s="245">
        <v>0</v>
      </c>
      <c r="AG6" s="245"/>
    </row>
    <row r="7" spans="1:33" ht="15">
      <c r="A7" s="12"/>
      <c r="B7" s="19"/>
      <c r="C7" s="19"/>
      <c r="D7" s="44"/>
      <c r="E7" s="14"/>
      <c r="F7" s="19"/>
      <c r="G7" s="19"/>
      <c r="H7" s="19"/>
      <c r="I7" s="19"/>
      <c r="J7" s="19"/>
      <c r="K7" s="15"/>
      <c r="L7" s="14"/>
      <c r="M7" s="32"/>
      <c r="N7" s="32"/>
      <c r="O7" s="31"/>
      <c r="P7" s="31"/>
      <c r="Q7" s="31"/>
      <c r="R7" s="35"/>
      <c r="S7" s="14"/>
      <c r="T7" s="28"/>
      <c r="U7" s="28"/>
      <c r="V7" s="32"/>
      <c r="W7" s="31"/>
      <c r="X7" s="28"/>
      <c r="Y7" s="35"/>
      <c r="Z7" s="14"/>
      <c r="AA7" s="31"/>
      <c r="AB7" s="31"/>
      <c r="AC7" s="28"/>
      <c r="AD7" s="58"/>
      <c r="AE7" s="28"/>
      <c r="AF7" s="35"/>
      <c r="AG7" s="14"/>
    </row>
    <row r="8" spans="1:33" ht="15" customHeight="1">
      <c r="A8" s="12" t="s">
        <v>2</v>
      </c>
      <c r="B8" s="196">
        <v>0</v>
      </c>
      <c r="C8" s="196">
        <v>150804</v>
      </c>
      <c r="D8" s="234">
        <v>68920</v>
      </c>
      <c r="E8" s="234"/>
      <c r="F8" s="196">
        <v>26469</v>
      </c>
      <c r="G8" s="196">
        <v>18067</v>
      </c>
      <c r="H8" s="196">
        <v>29853</v>
      </c>
      <c r="I8" s="196">
        <v>24838</v>
      </c>
      <c r="J8" s="196">
        <v>30729</v>
      </c>
      <c r="K8" s="245">
        <v>47762</v>
      </c>
      <c r="L8" s="245"/>
      <c r="M8" s="33">
        <v>24919</v>
      </c>
      <c r="N8" s="33">
        <v>43061</v>
      </c>
      <c r="O8" s="47">
        <v>52283</v>
      </c>
      <c r="P8" s="47">
        <v>31560</v>
      </c>
      <c r="Q8" s="47">
        <v>22542</v>
      </c>
      <c r="R8" s="241">
        <v>0</v>
      </c>
      <c r="S8" s="241"/>
      <c r="T8" s="33">
        <v>23709</v>
      </c>
      <c r="U8" s="33">
        <v>35986</v>
      </c>
      <c r="V8" s="33">
        <v>29451</v>
      </c>
      <c r="W8" s="47">
        <v>25762</v>
      </c>
      <c r="X8" s="33">
        <v>26917</v>
      </c>
      <c r="Y8" s="245">
        <v>46963</v>
      </c>
      <c r="Z8" s="245"/>
      <c r="AA8" s="33">
        <v>24633</v>
      </c>
      <c r="AB8" s="33">
        <v>23509</v>
      </c>
      <c r="AC8" s="33">
        <v>20471</v>
      </c>
      <c r="AD8" s="59">
        <v>16287</v>
      </c>
      <c r="AE8" s="33">
        <v>8554</v>
      </c>
      <c r="AF8" s="245">
        <v>46877</v>
      </c>
      <c r="AG8" s="245"/>
    </row>
    <row r="9" spans="1:33" ht="15">
      <c r="A9" s="12"/>
      <c r="B9" s="31"/>
      <c r="C9" s="31"/>
      <c r="D9" s="35"/>
      <c r="E9" s="14"/>
      <c r="F9" s="31"/>
      <c r="G9" s="31"/>
      <c r="H9" s="31"/>
      <c r="I9" s="31"/>
      <c r="J9" s="31"/>
      <c r="K9" s="15"/>
      <c r="L9" s="14"/>
      <c r="M9" s="32"/>
      <c r="N9" s="32"/>
      <c r="O9" s="31"/>
      <c r="P9" s="31"/>
      <c r="Q9" s="31"/>
      <c r="R9" s="35"/>
      <c r="S9" s="14"/>
      <c r="T9" s="28"/>
      <c r="U9" s="28"/>
      <c r="V9" s="32"/>
      <c r="W9" s="31"/>
      <c r="X9" s="28"/>
      <c r="Y9" s="35"/>
      <c r="Z9" s="14"/>
      <c r="AA9" s="31"/>
      <c r="AB9" s="31"/>
      <c r="AC9" s="28"/>
      <c r="AD9" s="58"/>
      <c r="AE9" s="28"/>
      <c r="AF9" s="35"/>
      <c r="AG9" s="14"/>
    </row>
    <row r="10" spans="1:33" s="37" customFormat="1">
      <c r="A10" s="36" t="s">
        <v>3</v>
      </c>
      <c r="B10" s="197">
        <f>+B6+B8</f>
        <v>0</v>
      </c>
      <c r="C10" s="197">
        <f t="shared" ref="C10:AG10" si="4">+C6+C8</f>
        <v>222537</v>
      </c>
      <c r="D10" s="244">
        <f>+D6+D8</f>
        <v>68920</v>
      </c>
      <c r="E10" s="244"/>
      <c r="F10" s="197">
        <f t="shared" si="4"/>
        <v>136253</v>
      </c>
      <c r="G10" s="197">
        <f t="shared" si="4"/>
        <v>148747</v>
      </c>
      <c r="H10" s="197">
        <f t="shared" si="4"/>
        <v>145868</v>
      </c>
      <c r="I10" s="197">
        <f t="shared" si="4"/>
        <v>160245</v>
      </c>
      <c r="J10" s="197">
        <f t="shared" si="4"/>
        <v>146474</v>
      </c>
      <c r="K10" s="239">
        <f t="shared" si="4"/>
        <v>47762</v>
      </c>
      <c r="L10" s="239"/>
      <c r="M10" s="197">
        <f t="shared" si="4"/>
        <v>182050</v>
      </c>
      <c r="N10" s="197">
        <f t="shared" si="4"/>
        <v>200579</v>
      </c>
      <c r="O10" s="197">
        <f t="shared" si="4"/>
        <v>170859</v>
      </c>
      <c r="P10" s="197">
        <f t="shared" si="4"/>
        <v>140446</v>
      </c>
      <c r="Q10" s="197">
        <f t="shared" si="4"/>
        <v>141582</v>
      </c>
      <c r="R10" s="244">
        <f t="shared" si="4"/>
        <v>0</v>
      </c>
      <c r="S10" s="244"/>
      <c r="T10" s="197">
        <f t="shared" si="4"/>
        <v>164561</v>
      </c>
      <c r="U10" s="197">
        <f t="shared" si="4"/>
        <v>160414</v>
      </c>
      <c r="V10" s="197">
        <f t="shared" si="4"/>
        <v>145878</v>
      </c>
      <c r="W10" s="197">
        <f t="shared" si="4"/>
        <v>142875</v>
      </c>
      <c r="X10" s="197">
        <f t="shared" si="4"/>
        <v>143717</v>
      </c>
      <c r="Y10" s="244">
        <f t="shared" si="4"/>
        <v>46963</v>
      </c>
      <c r="Z10" s="244"/>
      <c r="AA10" s="197">
        <f t="shared" si="4"/>
        <v>135286</v>
      </c>
      <c r="AB10" s="197">
        <f t="shared" si="4"/>
        <v>157962</v>
      </c>
      <c r="AC10" s="197">
        <f t="shared" si="4"/>
        <v>122245</v>
      </c>
      <c r="AD10" s="60">
        <f t="shared" si="4"/>
        <v>132782</v>
      </c>
      <c r="AE10" s="198">
        <f t="shared" si="4"/>
        <v>137691</v>
      </c>
      <c r="AF10" s="244">
        <f t="shared" si="4"/>
        <v>46877</v>
      </c>
      <c r="AG10" s="244">
        <f t="shared" si="4"/>
        <v>0</v>
      </c>
    </row>
    <row r="11" spans="1:33" ht="13.5" thickBot="1">
      <c r="A11" s="13"/>
      <c r="B11" s="7"/>
      <c r="C11" s="7"/>
      <c r="D11" s="16"/>
      <c r="E11" s="16"/>
      <c r="F11" s="7"/>
      <c r="G11" s="7"/>
      <c r="H11" s="7"/>
      <c r="I11" s="7"/>
      <c r="J11" s="7"/>
      <c r="K11" s="17"/>
      <c r="L11" s="16"/>
      <c r="M11" s="42"/>
      <c r="N11" s="42"/>
      <c r="O11" s="7"/>
      <c r="P11" s="7"/>
      <c r="Q11" s="7"/>
      <c r="R11" s="16"/>
      <c r="S11" s="16"/>
      <c r="T11" s="29"/>
      <c r="U11" s="29"/>
      <c r="V11" s="7"/>
      <c r="W11" s="7"/>
      <c r="X11" s="29"/>
      <c r="Y11" s="16"/>
      <c r="Z11" s="16"/>
      <c r="AA11" s="7"/>
      <c r="AB11" s="7"/>
      <c r="AC11" s="29"/>
      <c r="AD11" s="61"/>
      <c r="AE11" s="29"/>
      <c r="AF11" s="16"/>
      <c r="AG11" s="16"/>
    </row>
    <row r="13" spans="1:33">
      <c r="X13" s="23"/>
    </row>
    <row r="14" spans="1:33">
      <c r="R14" s="23"/>
    </row>
    <row r="15" spans="1:33">
      <c r="G15" s="34"/>
      <c r="M15" s="40"/>
      <c r="N15" s="40"/>
      <c r="O15" s="40"/>
      <c r="P15" s="40"/>
      <c r="Q15" s="40"/>
    </row>
    <row r="20" spans="10:10">
      <c r="J20" s="22"/>
    </row>
  </sheetData>
  <mergeCells count="15">
    <mergeCell ref="AF6:AG6"/>
    <mergeCell ref="AF8:AG8"/>
    <mergeCell ref="AF10:AG10"/>
    <mergeCell ref="D10:E10"/>
    <mergeCell ref="K10:L10"/>
    <mergeCell ref="R10:S10"/>
    <mergeCell ref="Y10:Z10"/>
    <mergeCell ref="D6:E6"/>
    <mergeCell ref="K6:L6"/>
    <mergeCell ref="R6:S6"/>
    <mergeCell ref="Y6:Z6"/>
    <mergeCell ref="D8:E8"/>
    <mergeCell ref="K8:L8"/>
    <mergeCell ref="R8:S8"/>
    <mergeCell ref="Y8:Z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2.75"/>
  <cols>
    <col min="2" max="2" width="6.7109375" bestFit="1" customWidth="1"/>
    <col min="3" max="4" width="7.5703125" bestFit="1" customWidth="1"/>
    <col min="5" max="5" width="7.5703125" customWidth="1"/>
    <col min="6" max="8" width="7.5703125" bestFit="1" customWidth="1"/>
    <col min="9" max="9" width="6.5703125" bestFit="1" customWidth="1"/>
    <col min="10" max="15" width="7.5703125" bestFit="1" customWidth="1"/>
    <col min="16" max="16" width="6.5703125" bestFit="1" customWidth="1"/>
    <col min="17" max="17" width="7.42578125" bestFit="1" customWidth="1"/>
    <col min="18" max="22" width="7.5703125" bestFit="1" customWidth="1"/>
    <col min="23" max="23" width="6.5703125" bestFit="1" customWidth="1"/>
    <col min="24" max="25" width="7.5703125" bestFit="1" customWidth="1"/>
    <col min="26" max="26" width="7.85546875" customWidth="1"/>
    <col min="27" max="29" width="7.5703125" bestFit="1" customWidth="1"/>
    <col min="30" max="30" width="6.5703125" bestFit="1" customWidth="1"/>
    <col min="31" max="32" width="7.5703125" bestFit="1" customWidth="1"/>
  </cols>
  <sheetData>
    <row r="1" spans="1:32">
      <c r="A1" s="2"/>
      <c r="B1" s="24">
        <v>46054</v>
      </c>
      <c r="C1" s="24">
        <f t="shared" ref="C1:Q2" si="0">+B1+1</f>
        <v>46055</v>
      </c>
      <c r="D1" s="24">
        <f t="shared" si="0"/>
        <v>46056</v>
      </c>
      <c r="E1" s="24">
        <f t="shared" si="0"/>
        <v>46057</v>
      </c>
      <c r="F1" s="24">
        <f t="shared" si="0"/>
        <v>46058</v>
      </c>
      <c r="G1" s="24">
        <f t="shared" si="0"/>
        <v>46059</v>
      </c>
      <c r="H1" s="24">
        <f t="shared" si="0"/>
        <v>46060</v>
      </c>
      <c r="I1" s="24">
        <f t="shared" si="0"/>
        <v>46061</v>
      </c>
      <c r="J1" s="24">
        <f t="shared" si="0"/>
        <v>46062</v>
      </c>
      <c r="K1" s="24">
        <f t="shared" si="0"/>
        <v>46063</v>
      </c>
      <c r="L1" s="24">
        <f t="shared" si="0"/>
        <v>46064</v>
      </c>
      <c r="M1" s="24">
        <f t="shared" si="0"/>
        <v>46065</v>
      </c>
      <c r="N1" s="24">
        <f t="shared" si="0"/>
        <v>46066</v>
      </c>
      <c r="O1" s="24">
        <f t="shared" si="0"/>
        <v>46067</v>
      </c>
      <c r="P1" s="24">
        <f t="shared" si="0"/>
        <v>46068</v>
      </c>
      <c r="Q1" s="24">
        <f t="shared" si="0"/>
        <v>46069</v>
      </c>
      <c r="R1" s="24">
        <f t="shared" ref="Q1:AF2" si="1">+Q1+1</f>
        <v>46070</v>
      </c>
      <c r="S1" s="24">
        <f t="shared" si="1"/>
        <v>46071</v>
      </c>
      <c r="T1" s="24">
        <f t="shared" si="1"/>
        <v>46072</v>
      </c>
      <c r="U1" s="24">
        <f t="shared" si="1"/>
        <v>46073</v>
      </c>
      <c r="V1" s="24">
        <f t="shared" si="1"/>
        <v>46074</v>
      </c>
      <c r="W1" s="24">
        <f t="shared" si="1"/>
        <v>46075</v>
      </c>
      <c r="X1" s="24">
        <f t="shared" si="1"/>
        <v>46076</v>
      </c>
      <c r="Y1" s="24">
        <f t="shared" si="1"/>
        <v>46077</v>
      </c>
      <c r="Z1" s="24">
        <f t="shared" si="1"/>
        <v>46078</v>
      </c>
      <c r="AA1" s="24">
        <f t="shared" si="1"/>
        <v>46079</v>
      </c>
      <c r="AB1" s="24">
        <f t="shared" si="1"/>
        <v>46080</v>
      </c>
      <c r="AC1" s="24">
        <f t="shared" si="1"/>
        <v>46081</v>
      </c>
      <c r="AD1" s="24">
        <f t="shared" si="1"/>
        <v>46082</v>
      </c>
      <c r="AE1" s="24">
        <f t="shared" si="1"/>
        <v>46083</v>
      </c>
      <c r="AF1" s="24">
        <f t="shared" si="1"/>
        <v>46084</v>
      </c>
    </row>
    <row r="2" spans="1:32">
      <c r="A2" s="4"/>
      <c r="B2" s="5">
        <v>46054</v>
      </c>
      <c r="C2" s="5">
        <f t="shared" si="0"/>
        <v>46055</v>
      </c>
      <c r="D2" s="5">
        <f t="shared" si="0"/>
        <v>46056</v>
      </c>
      <c r="E2" s="5">
        <f t="shared" si="0"/>
        <v>46057</v>
      </c>
      <c r="F2" s="5">
        <f t="shared" si="0"/>
        <v>46058</v>
      </c>
      <c r="G2" s="5">
        <f t="shared" si="0"/>
        <v>46059</v>
      </c>
      <c r="H2" s="5">
        <f t="shared" si="0"/>
        <v>46060</v>
      </c>
      <c r="I2" s="5">
        <f t="shared" si="0"/>
        <v>46061</v>
      </c>
      <c r="J2" s="5">
        <f t="shared" si="0"/>
        <v>46062</v>
      </c>
      <c r="K2" s="5">
        <f t="shared" si="0"/>
        <v>46063</v>
      </c>
      <c r="L2" s="5">
        <f t="shared" si="0"/>
        <v>46064</v>
      </c>
      <c r="M2" s="5">
        <f t="shared" si="0"/>
        <v>46065</v>
      </c>
      <c r="N2" s="5">
        <f t="shared" si="0"/>
        <v>46066</v>
      </c>
      <c r="O2" s="5">
        <f t="shared" si="0"/>
        <v>46067</v>
      </c>
      <c r="P2" s="5">
        <f t="shared" si="0"/>
        <v>46068</v>
      </c>
      <c r="Q2" s="5">
        <f t="shared" si="1"/>
        <v>46069</v>
      </c>
      <c r="R2" s="5">
        <f t="shared" si="1"/>
        <v>46070</v>
      </c>
      <c r="S2" s="5">
        <f t="shared" si="1"/>
        <v>46071</v>
      </c>
      <c r="T2" s="5">
        <f t="shared" si="1"/>
        <v>46072</v>
      </c>
      <c r="U2" s="5">
        <f t="shared" si="1"/>
        <v>46073</v>
      </c>
      <c r="V2" s="5">
        <f t="shared" si="1"/>
        <v>46074</v>
      </c>
      <c r="W2" s="5">
        <f t="shared" si="1"/>
        <v>46075</v>
      </c>
      <c r="X2" s="5">
        <f t="shared" si="1"/>
        <v>46076</v>
      </c>
      <c r="Y2" s="5">
        <f t="shared" si="1"/>
        <v>46077</v>
      </c>
      <c r="Z2" s="5">
        <f t="shared" si="1"/>
        <v>46078</v>
      </c>
      <c r="AA2" s="5">
        <f t="shared" si="1"/>
        <v>46079</v>
      </c>
      <c r="AB2" s="5">
        <f t="shared" si="1"/>
        <v>46080</v>
      </c>
      <c r="AC2" s="5">
        <f t="shared" si="1"/>
        <v>46081</v>
      </c>
      <c r="AD2" s="5">
        <f t="shared" si="1"/>
        <v>46082</v>
      </c>
      <c r="AE2" s="5">
        <f t="shared" si="1"/>
        <v>46083</v>
      </c>
      <c r="AF2" s="5">
        <f t="shared" si="1"/>
        <v>46084</v>
      </c>
    </row>
    <row r="3" spans="1:32" ht="13.5" thickBot="1">
      <c r="A3" s="6"/>
      <c r="B3" s="17"/>
      <c r="C3" s="42"/>
      <c r="D3" s="42"/>
      <c r="E3" s="42"/>
      <c r="F3" s="7"/>
      <c r="G3" s="7"/>
      <c r="H3" s="16"/>
      <c r="I3" s="16"/>
      <c r="J3" s="7"/>
      <c r="K3" s="7"/>
      <c r="L3" s="7"/>
      <c r="M3" s="7"/>
      <c r="N3" s="7"/>
      <c r="O3" s="16"/>
      <c r="P3" s="16"/>
      <c r="Q3" s="16"/>
      <c r="R3" s="16"/>
      <c r="S3" s="7"/>
      <c r="T3" s="7"/>
      <c r="U3" s="7"/>
      <c r="V3" s="16"/>
      <c r="W3" s="16"/>
      <c r="X3" s="7"/>
      <c r="Y3" s="7"/>
      <c r="Z3" s="7"/>
      <c r="AA3" s="7"/>
      <c r="AB3" s="7"/>
      <c r="AC3" s="16"/>
      <c r="AD3" s="16"/>
      <c r="AE3" s="7"/>
      <c r="AF3" s="7"/>
    </row>
    <row r="4" spans="1:32" ht="15">
      <c r="A4" s="100" t="s">
        <v>0</v>
      </c>
      <c r="B4" s="52"/>
      <c r="C4" s="70"/>
      <c r="D4" s="25"/>
      <c r="E4" s="25"/>
      <c r="F4" s="1"/>
      <c r="G4" s="1"/>
      <c r="H4" s="14"/>
      <c r="I4" s="41"/>
      <c r="J4" s="1"/>
      <c r="K4" s="1"/>
      <c r="L4" s="1"/>
      <c r="M4" s="1"/>
      <c r="N4" s="1"/>
      <c r="O4" s="55"/>
      <c r="P4" s="41"/>
      <c r="Q4" s="14"/>
      <c r="R4" s="14"/>
      <c r="S4" s="1"/>
      <c r="T4" s="1"/>
      <c r="U4" s="1"/>
      <c r="V4" s="14"/>
      <c r="W4" s="41"/>
      <c r="X4" s="30"/>
      <c r="Y4" s="30"/>
      <c r="Z4" s="1"/>
      <c r="AA4" s="1"/>
      <c r="AB4" s="30"/>
      <c r="AC4" s="14"/>
      <c r="AD4" s="41"/>
      <c r="AE4" s="1"/>
      <c r="AF4" s="1"/>
    </row>
    <row r="5" spans="1:32" ht="15">
      <c r="A5" s="10"/>
      <c r="B5" s="54"/>
      <c r="C5" s="25"/>
      <c r="D5" s="25"/>
      <c r="E5" s="25"/>
      <c r="F5" s="1"/>
      <c r="G5" s="1"/>
      <c r="H5" s="14"/>
      <c r="I5" s="14"/>
      <c r="J5" s="1"/>
      <c r="K5" s="1"/>
      <c r="L5" s="1"/>
      <c r="M5" s="1"/>
      <c r="N5" s="1"/>
      <c r="O5" s="15"/>
      <c r="P5" s="14"/>
      <c r="Q5" s="14"/>
      <c r="R5" s="14"/>
      <c r="S5" s="1"/>
      <c r="T5" s="1"/>
      <c r="U5" s="1"/>
      <c r="V5" s="14"/>
      <c r="W5" s="14"/>
      <c r="X5" s="28"/>
      <c r="Y5" s="28"/>
      <c r="Z5" s="25"/>
      <c r="AA5" s="1"/>
      <c r="AB5" s="28"/>
      <c r="AC5" s="14"/>
      <c r="AD5" s="14"/>
      <c r="AE5" s="1"/>
      <c r="AF5" s="1"/>
    </row>
    <row r="6" spans="1:32" s="37" customFormat="1" ht="15" customHeight="1">
      <c r="A6" s="36" t="s">
        <v>1</v>
      </c>
      <c r="B6" s="114"/>
      <c r="C6" s="43">
        <v>141012</v>
      </c>
      <c r="D6" s="43">
        <v>133884</v>
      </c>
      <c r="E6" s="199">
        <v>107105</v>
      </c>
      <c r="F6" s="199">
        <v>123586</v>
      </c>
      <c r="G6" s="199">
        <v>131627</v>
      </c>
      <c r="H6" s="234">
        <v>0</v>
      </c>
      <c r="I6" s="234"/>
      <c r="J6" s="199">
        <v>175316</v>
      </c>
      <c r="K6" s="199">
        <v>166063</v>
      </c>
      <c r="L6" s="199">
        <v>121458</v>
      </c>
      <c r="M6" s="199">
        <v>116829</v>
      </c>
      <c r="N6" s="199">
        <v>123217</v>
      </c>
      <c r="O6" s="237">
        <v>232163</v>
      </c>
      <c r="P6" s="237"/>
      <c r="Q6" s="237"/>
      <c r="R6" s="237"/>
      <c r="S6" s="199">
        <v>61385</v>
      </c>
      <c r="T6" s="254">
        <v>192530</v>
      </c>
      <c r="U6" s="254"/>
      <c r="V6" s="237">
        <v>0</v>
      </c>
      <c r="W6" s="237"/>
      <c r="X6" s="66">
        <v>126978</v>
      </c>
      <c r="Y6" s="66">
        <v>136361</v>
      </c>
      <c r="Z6" s="66">
        <v>88445</v>
      </c>
      <c r="AA6" s="66">
        <v>112928</v>
      </c>
      <c r="AB6" s="66">
        <v>136890</v>
      </c>
      <c r="AC6" s="237">
        <v>0</v>
      </c>
      <c r="AD6" s="237"/>
      <c r="AE6" s="199"/>
      <c r="AF6" s="199"/>
    </row>
    <row r="7" spans="1:32" s="83" customFormat="1" ht="15">
      <c r="A7" s="84"/>
      <c r="B7" s="67"/>
      <c r="C7" s="81"/>
      <c r="D7" s="81"/>
      <c r="E7" s="81"/>
      <c r="F7" s="82"/>
      <c r="G7" s="82"/>
      <c r="H7" s="68"/>
      <c r="I7" s="68"/>
      <c r="J7" s="82"/>
      <c r="K7" s="82"/>
      <c r="L7" s="82"/>
      <c r="M7" s="82"/>
      <c r="N7" s="80"/>
      <c r="O7" s="85"/>
      <c r="P7" s="68"/>
      <c r="Q7" s="68"/>
      <c r="R7" s="68"/>
      <c r="S7" s="82"/>
      <c r="T7" s="82"/>
      <c r="U7" s="82"/>
      <c r="V7" s="68"/>
      <c r="W7" s="68"/>
      <c r="X7" s="86"/>
      <c r="Y7" s="86"/>
      <c r="Z7" s="81"/>
      <c r="AA7" s="82"/>
      <c r="AB7" s="86"/>
      <c r="AC7" s="68"/>
      <c r="AD7" s="68"/>
      <c r="AE7" s="82"/>
      <c r="AF7" s="82"/>
    </row>
    <row r="8" spans="1:32" s="37" customFormat="1" ht="15" customHeight="1">
      <c r="A8" s="87" t="s">
        <v>2</v>
      </c>
      <c r="B8" s="114"/>
      <c r="C8" s="43">
        <v>26481</v>
      </c>
      <c r="D8" s="43">
        <v>41739</v>
      </c>
      <c r="E8" s="199">
        <v>45848</v>
      </c>
      <c r="F8" s="199">
        <v>26216</v>
      </c>
      <c r="G8" s="199">
        <v>22815</v>
      </c>
      <c r="H8" s="234">
        <v>47538</v>
      </c>
      <c r="I8" s="234"/>
      <c r="J8" s="199">
        <v>24130</v>
      </c>
      <c r="K8" s="199">
        <v>63689</v>
      </c>
      <c r="L8" s="199">
        <v>89572</v>
      </c>
      <c r="M8" s="199">
        <v>79199</v>
      </c>
      <c r="N8" s="199">
        <v>71491</v>
      </c>
      <c r="O8" s="237">
        <v>83392</v>
      </c>
      <c r="P8" s="237"/>
      <c r="Q8" s="237"/>
      <c r="R8" s="237"/>
      <c r="S8" s="199">
        <v>30455</v>
      </c>
      <c r="T8" s="254">
        <v>80559</v>
      </c>
      <c r="U8" s="254"/>
      <c r="V8" s="234">
        <v>77952</v>
      </c>
      <c r="W8" s="234"/>
      <c r="X8" s="66">
        <v>25921</v>
      </c>
      <c r="Y8" s="66">
        <v>42059</v>
      </c>
      <c r="Z8" s="66">
        <v>50984</v>
      </c>
      <c r="AA8" s="199">
        <v>17618</v>
      </c>
      <c r="AB8" s="66">
        <v>15727</v>
      </c>
      <c r="AC8" s="237">
        <v>45425</v>
      </c>
      <c r="AD8" s="237"/>
      <c r="AE8" s="66"/>
      <c r="AF8" s="66"/>
    </row>
    <row r="9" spans="1:32" ht="15">
      <c r="A9" s="12"/>
      <c r="B9" s="108"/>
      <c r="C9" s="26"/>
      <c r="D9" s="26"/>
      <c r="E9" s="32"/>
      <c r="F9" s="31"/>
      <c r="G9" s="31"/>
      <c r="H9" s="35"/>
      <c r="I9" s="14"/>
      <c r="J9" s="31"/>
      <c r="K9" s="31"/>
      <c r="L9" s="31"/>
      <c r="M9" s="31"/>
      <c r="N9" s="31"/>
      <c r="O9" s="15"/>
      <c r="P9" s="14"/>
      <c r="Q9" s="35"/>
      <c r="R9" s="35"/>
      <c r="S9" s="31"/>
      <c r="T9" s="31"/>
      <c r="U9" s="31"/>
      <c r="V9" s="35"/>
      <c r="W9" s="14"/>
      <c r="X9" s="28"/>
      <c r="Y9" s="28"/>
      <c r="Z9" s="32"/>
      <c r="AA9" s="31"/>
      <c r="AB9" s="28"/>
      <c r="AC9" s="35"/>
      <c r="AD9" s="14"/>
      <c r="AE9" s="31"/>
      <c r="AF9" s="31"/>
    </row>
    <row r="10" spans="1:32" s="37" customFormat="1">
      <c r="A10" s="36" t="s">
        <v>3</v>
      </c>
      <c r="B10" s="203"/>
      <c r="C10" s="200">
        <f>+C6+C8</f>
        <v>167493</v>
      </c>
      <c r="D10" s="200">
        <f>+D6+D8</f>
        <v>175623</v>
      </c>
      <c r="E10" s="200">
        <f>+E6+E8</f>
        <v>152953</v>
      </c>
      <c r="F10" s="200">
        <f>+F6+F8</f>
        <v>149802</v>
      </c>
      <c r="G10" s="200">
        <f t="shared" ref="G10:AF10" si="2">+G6+G8</f>
        <v>154442</v>
      </c>
      <c r="H10" s="244">
        <f>+H6+H8</f>
        <v>47538</v>
      </c>
      <c r="I10" s="244"/>
      <c r="J10" s="200">
        <f t="shared" si="2"/>
        <v>199446</v>
      </c>
      <c r="K10" s="200">
        <f t="shared" si="2"/>
        <v>229752</v>
      </c>
      <c r="L10" s="200">
        <f t="shared" si="2"/>
        <v>211030</v>
      </c>
      <c r="M10" s="200">
        <f t="shared" si="2"/>
        <v>196028</v>
      </c>
      <c r="N10" s="200">
        <f t="shared" si="2"/>
        <v>194708</v>
      </c>
      <c r="O10" s="239">
        <f t="shared" si="2"/>
        <v>315555</v>
      </c>
      <c r="P10" s="239"/>
      <c r="Q10" s="239"/>
      <c r="R10" s="239"/>
      <c r="S10" s="200">
        <f t="shared" si="2"/>
        <v>91840</v>
      </c>
      <c r="T10" s="255">
        <f t="shared" si="2"/>
        <v>273089</v>
      </c>
      <c r="U10" s="255"/>
      <c r="V10" s="244">
        <f t="shared" si="2"/>
        <v>77952</v>
      </c>
      <c r="W10" s="244"/>
      <c r="X10" s="200">
        <f t="shared" si="2"/>
        <v>152899</v>
      </c>
      <c r="Y10" s="200">
        <f t="shared" si="2"/>
        <v>178420</v>
      </c>
      <c r="Z10" s="200">
        <f>+Z6+Z8</f>
        <v>139429</v>
      </c>
      <c r="AA10" s="200">
        <f t="shared" si="2"/>
        <v>130546</v>
      </c>
      <c r="AB10" s="200">
        <f t="shared" si="2"/>
        <v>152617</v>
      </c>
      <c r="AC10" s="244">
        <f t="shared" si="2"/>
        <v>45425</v>
      </c>
      <c r="AD10" s="244"/>
      <c r="AE10" s="200">
        <f t="shared" si="2"/>
        <v>0</v>
      </c>
      <c r="AF10" s="200">
        <f t="shared" si="2"/>
        <v>0</v>
      </c>
    </row>
    <row r="11" spans="1:32" ht="13.5" thickBot="1">
      <c r="A11" s="13"/>
      <c r="B11" s="78"/>
      <c r="C11" s="79"/>
      <c r="D11" s="79"/>
      <c r="E11" s="42"/>
      <c r="F11" s="7"/>
      <c r="G11" s="7"/>
      <c r="H11" s="16"/>
      <c r="I11" s="16"/>
      <c r="J11" s="7"/>
      <c r="K11" s="7"/>
      <c r="L11" s="7"/>
      <c r="M11" s="7"/>
      <c r="N11" s="7"/>
      <c r="O11" s="17"/>
      <c r="P11" s="16"/>
      <c r="Q11" s="16"/>
      <c r="R11" s="16"/>
      <c r="S11" s="7"/>
      <c r="T11" s="7"/>
      <c r="U11" s="7"/>
      <c r="V11" s="16"/>
      <c r="W11" s="16"/>
      <c r="X11" s="29"/>
      <c r="Y11" s="29"/>
      <c r="Z11" s="7"/>
      <c r="AA11" s="7"/>
      <c r="AB11" s="29"/>
      <c r="AC11" s="16"/>
      <c r="AD11" s="16"/>
      <c r="AE11" s="7"/>
      <c r="AF11" s="7"/>
    </row>
    <row r="13" spans="1:32">
      <c r="AB13" s="23"/>
    </row>
    <row r="14" spans="1:32">
      <c r="V14" s="23"/>
    </row>
    <row r="15" spans="1:32">
      <c r="K15" s="34"/>
      <c r="Q15" s="40"/>
      <c r="R15" s="40"/>
      <c r="S15" s="40"/>
      <c r="T15" s="40"/>
      <c r="U15" s="40"/>
    </row>
    <row r="16" spans="1:32">
      <c r="J16" s="34"/>
    </row>
    <row r="20" spans="14:14">
      <c r="N20" s="22"/>
    </row>
  </sheetData>
  <mergeCells count="15">
    <mergeCell ref="T10:U10"/>
    <mergeCell ref="H10:I10"/>
    <mergeCell ref="V10:W10"/>
    <mergeCell ref="AC10:AD10"/>
    <mergeCell ref="O6:R6"/>
    <mergeCell ref="O8:R8"/>
    <mergeCell ref="O10:R10"/>
    <mergeCell ref="T6:U6"/>
    <mergeCell ref="T8:U8"/>
    <mergeCell ref="H6:I6"/>
    <mergeCell ref="V6:W6"/>
    <mergeCell ref="AC6:AD6"/>
    <mergeCell ref="H8:I8"/>
    <mergeCell ref="V8:W8"/>
    <mergeCell ref="AC8:AD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E9" sqref="AE9"/>
    </sheetView>
  </sheetViews>
  <sheetFormatPr baseColWidth="10" defaultRowHeight="12.75"/>
  <cols>
    <col min="2" max="32" width="9" customWidth="1"/>
  </cols>
  <sheetData>
    <row r="1" spans="1:32">
      <c r="A1" s="2"/>
      <c r="B1" s="24">
        <v>45992</v>
      </c>
      <c r="C1" s="24">
        <f t="shared" ref="C1:R2" si="0">+B1+1</f>
        <v>45993</v>
      </c>
      <c r="D1" s="24">
        <f t="shared" si="0"/>
        <v>45994</v>
      </c>
      <c r="E1" s="24">
        <f t="shared" si="0"/>
        <v>45995</v>
      </c>
      <c r="F1" s="24">
        <f t="shared" si="0"/>
        <v>45996</v>
      </c>
      <c r="G1" s="24">
        <f t="shared" si="0"/>
        <v>45997</v>
      </c>
      <c r="H1" s="24">
        <f t="shared" si="0"/>
        <v>45998</v>
      </c>
      <c r="I1" s="24">
        <f t="shared" si="0"/>
        <v>45999</v>
      </c>
      <c r="J1" s="24">
        <f t="shared" si="0"/>
        <v>46000</v>
      </c>
      <c r="K1" s="24">
        <f t="shared" si="0"/>
        <v>46001</v>
      </c>
      <c r="L1" s="24">
        <f t="shared" si="0"/>
        <v>46002</v>
      </c>
      <c r="M1" s="24">
        <f t="shared" si="0"/>
        <v>46003</v>
      </c>
      <c r="N1" s="24">
        <f t="shared" si="0"/>
        <v>46004</v>
      </c>
      <c r="O1" s="24">
        <f t="shared" si="0"/>
        <v>46005</v>
      </c>
      <c r="P1" s="24">
        <f t="shared" si="0"/>
        <v>46006</v>
      </c>
      <c r="Q1" s="24">
        <f t="shared" si="0"/>
        <v>46007</v>
      </c>
      <c r="R1" s="24">
        <f t="shared" si="0"/>
        <v>46008</v>
      </c>
      <c r="S1" s="24">
        <f t="shared" ref="Q1:AF2" si="1">+R1+1</f>
        <v>46009</v>
      </c>
      <c r="T1" s="24">
        <f t="shared" si="1"/>
        <v>46010</v>
      </c>
      <c r="U1" s="24">
        <f t="shared" si="1"/>
        <v>46011</v>
      </c>
      <c r="V1" s="24">
        <f t="shared" si="1"/>
        <v>46012</v>
      </c>
      <c r="W1" s="24">
        <f t="shared" si="1"/>
        <v>46013</v>
      </c>
      <c r="X1" s="24">
        <f t="shared" si="1"/>
        <v>46014</v>
      </c>
      <c r="Y1" s="24">
        <f t="shared" si="1"/>
        <v>46015</v>
      </c>
      <c r="Z1" s="24">
        <f t="shared" si="1"/>
        <v>46016</v>
      </c>
      <c r="AA1" s="24">
        <f t="shared" si="1"/>
        <v>46017</v>
      </c>
      <c r="AB1" s="24">
        <f t="shared" si="1"/>
        <v>46018</v>
      </c>
      <c r="AC1" s="24">
        <f t="shared" si="1"/>
        <v>46019</v>
      </c>
      <c r="AD1" s="24">
        <f t="shared" si="1"/>
        <v>46020</v>
      </c>
      <c r="AE1" s="24">
        <f t="shared" si="1"/>
        <v>46021</v>
      </c>
      <c r="AF1" s="38">
        <f t="shared" si="1"/>
        <v>46022</v>
      </c>
    </row>
    <row r="2" spans="1:32">
      <c r="A2" s="4"/>
      <c r="B2" s="5">
        <v>46083</v>
      </c>
      <c r="C2" s="5">
        <f t="shared" si="0"/>
        <v>46084</v>
      </c>
      <c r="D2" s="5">
        <f t="shared" si="0"/>
        <v>46085</v>
      </c>
      <c r="E2" s="5">
        <f t="shared" si="0"/>
        <v>46086</v>
      </c>
      <c r="F2" s="5">
        <f t="shared" si="0"/>
        <v>46087</v>
      </c>
      <c r="G2" s="5">
        <f t="shared" si="0"/>
        <v>46088</v>
      </c>
      <c r="H2" s="5">
        <f t="shared" si="0"/>
        <v>46089</v>
      </c>
      <c r="I2" s="5">
        <f t="shared" si="0"/>
        <v>46090</v>
      </c>
      <c r="J2" s="5">
        <f t="shared" si="0"/>
        <v>46091</v>
      </c>
      <c r="K2" s="5">
        <f t="shared" si="0"/>
        <v>46092</v>
      </c>
      <c r="L2" s="5">
        <f t="shared" si="0"/>
        <v>46093</v>
      </c>
      <c r="M2" s="5">
        <f t="shared" si="0"/>
        <v>46094</v>
      </c>
      <c r="N2" s="5">
        <f t="shared" si="0"/>
        <v>46095</v>
      </c>
      <c r="O2" s="5">
        <f t="shared" si="0"/>
        <v>46096</v>
      </c>
      <c r="P2" s="5">
        <f t="shared" si="0"/>
        <v>46097</v>
      </c>
      <c r="Q2" s="5">
        <f t="shared" si="1"/>
        <v>46098</v>
      </c>
      <c r="R2" s="5">
        <f t="shared" si="1"/>
        <v>46099</v>
      </c>
      <c r="S2" s="5">
        <f t="shared" si="1"/>
        <v>46100</v>
      </c>
      <c r="T2" s="5">
        <f t="shared" si="1"/>
        <v>46101</v>
      </c>
      <c r="U2" s="5">
        <f t="shared" si="1"/>
        <v>46102</v>
      </c>
      <c r="V2" s="5">
        <f t="shared" si="1"/>
        <v>46103</v>
      </c>
      <c r="W2" s="5">
        <f t="shared" si="1"/>
        <v>46104</v>
      </c>
      <c r="X2" s="5">
        <f t="shared" si="1"/>
        <v>46105</v>
      </c>
      <c r="Y2" s="5">
        <f t="shared" si="1"/>
        <v>46106</v>
      </c>
      <c r="Z2" s="5">
        <f t="shared" si="1"/>
        <v>46107</v>
      </c>
      <c r="AA2" s="5">
        <f t="shared" si="1"/>
        <v>46108</v>
      </c>
      <c r="AB2" s="5">
        <f t="shared" si="1"/>
        <v>46109</v>
      </c>
      <c r="AC2" s="5">
        <f t="shared" si="1"/>
        <v>46110</v>
      </c>
      <c r="AD2" s="5">
        <f t="shared" si="1"/>
        <v>46111</v>
      </c>
      <c r="AE2" s="5">
        <f t="shared" si="1"/>
        <v>46112</v>
      </c>
      <c r="AF2" s="39">
        <f t="shared" si="1"/>
        <v>46113</v>
      </c>
    </row>
    <row r="3" spans="1:32" ht="13.5" thickBot="1">
      <c r="A3" s="6"/>
      <c r="B3" s="115"/>
      <c r="C3" s="42"/>
      <c r="D3" s="42"/>
      <c r="E3" s="42"/>
      <c r="F3" s="7"/>
      <c r="G3" s="16"/>
      <c r="H3" s="16"/>
      <c r="I3" s="7"/>
      <c r="J3" s="7"/>
      <c r="K3" s="7"/>
      <c r="L3" s="7"/>
      <c r="M3" s="7"/>
      <c r="N3" s="16"/>
      <c r="O3" s="120"/>
      <c r="P3" s="42"/>
      <c r="Q3" s="42"/>
      <c r="R3" s="42"/>
      <c r="S3" s="7"/>
      <c r="T3" s="7"/>
      <c r="U3" s="16"/>
      <c r="V3" s="16"/>
      <c r="W3" s="42"/>
      <c r="X3" s="16"/>
      <c r="Y3" s="16"/>
      <c r="Z3" s="7"/>
      <c r="AA3" s="7"/>
      <c r="AB3" s="16"/>
      <c r="AC3" s="16"/>
      <c r="AD3" s="42"/>
      <c r="AE3" s="42"/>
      <c r="AF3" s="126"/>
    </row>
    <row r="4" spans="1:32" s="113" customFormat="1" ht="12.75" customHeight="1">
      <c r="A4" s="100" t="s">
        <v>0</v>
      </c>
      <c r="B4" s="116"/>
      <c r="C4" s="102"/>
      <c r="D4" s="109"/>
      <c r="E4" s="109"/>
      <c r="F4" s="110"/>
      <c r="G4" s="111"/>
      <c r="H4" s="111"/>
      <c r="I4" s="110"/>
      <c r="J4" s="110"/>
      <c r="K4" s="110"/>
      <c r="L4" s="110"/>
      <c r="M4" s="110"/>
      <c r="N4" s="103"/>
      <c r="O4" s="121"/>
      <c r="P4" s="109"/>
      <c r="Q4" s="109"/>
      <c r="R4" s="109"/>
      <c r="S4" s="110"/>
      <c r="T4" s="110"/>
      <c r="U4" s="112"/>
      <c r="V4" s="111"/>
      <c r="W4" s="125"/>
      <c r="X4" s="103"/>
      <c r="Y4" s="111"/>
      <c r="Z4" s="110"/>
      <c r="AA4" s="110"/>
      <c r="AB4" s="111"/>
      <c r="AC4" s="111"/>
      <c r="AD4" s="150"/>
      <c r="AE4" s="150"/>
      <c r="AF4" s="128"/>
    </row>
    <row r="5" spans="1:32" s="113" customFormat="1" ht="12.75" customHeight="1">
      <c r="A5" s="105"/>
      <c r="B5" s="117"/>
      <c r="C5" s="109"/>
      <c r="D5" s="109"/>
      <c r="E5" s="109"/>
      <c r="F5" s="110"/>
      <c r="G5" s="111"/>
      <c r="H5" s="111"/>
      <c r="I5" s="110"/>
      <c r="J5" s="110"/>
      <c r="K5" s="110"/>
      <c r="L5" s="110"/>
      <c r="M5" s="110"/>
      <c r="N5" s="46"/>
      <c r="O5" s="85"/>
      <c r="P5" s="109"/>
      <c r="Q5" s="109"/>
      <c r="R5" s="109"/>
      <c r="S5" s="110"/>
      <c r="T5" s="110"/>
      <c r="U5" s="111"/>
      <c r="V5" s="111"/>
      <c r="W5" s="109"/>
      <c r="X5" s="46"/>
      <c r="Y5" s="111"/>
      <c r="Z5" s="110"/>
      <c r="AA5" s="110"/>
      <c r="AB5" s="111"/>
      <c r="AC5" s="111"/>
      <c r="AD5" s="150"/>
      <c r="AE5" s="150"/>
      <c r="AF5" s="128"/>
    </row>
    <row r="6" spans="1:32" s="113" customFormat="1" ht="15" customHeight="1">
      <c r="A6" s="36" t="s">
        <v>1</v>
      </c>
      <c r="B6" s="43">
        <v>123860</v>
      </c>
      <c r="C6" s="109">
        <v>139940</v>
      </c>
      <c r="D6" s="43">
        <v>119252</v>
      </c>
      <c r="E6" s="201">
        <v>132424</v>
      </c>
      <c r="F6" s="201">
        <v>152753</v>
      </c>
      <c r="G6" s="234">
        <v>0</v>
      </c>
      <c r="H6" s="234"/>
      <c r="I6" s="201">
        <v>161186</v>
      </c>
      <c r="J6" s="201">
        <v>141099</v>
      </c>
      <c r="K6" s="201">
        <v>105819</v>
      </c>
      <c r="L6" s="201">
        <v>105532</v>
      </c>
      <c r="M6" s="201">
        <v>133355</v>
      </c>
      <c r="N6" s="237">
        <v>0</v>
      </c>
      <c r="O6" s="237"/>
      <c r="P6" s="66">
        <v>156195</v>
      </c>
      <c r="Q6" s="66">
        <v>137079</v>
      </c>
      <c r="R6" s="66">
        <v>89798</v>
      </c>
      <c r="S6" s="201">
        <v>90679</v>
      </c>
      <c r="T6" s="201">
        <v>132738</v>
      </c>
      <c r="U6" s="234">
        <v>0</v>
      </c>
      <c r="V6" s="234"/>
      <c r="W6" s="66">
        <v>156139</v>
      </c>
      <c r="X6" s="237">
        <v>259871</v>
      </c>
      <c r="Y6" s="237"/>
      <c r="Z6" s="66">
        <v>119601</v>
      </c>
      <c r="AA6" s="201">
        <v>133507</v>
      </c>
      <c r="AB6" s="237">
        <v>0</v>
      </c>
      <c r="AC6" s="237"/>
      <c r="AD6" s="136">
        <v>181626</v>
      </c>
      <c r="AE6" s="136">
        <v>181910</v>
      </c>
      <c r="AF6" s="135"/>
    </row>
    <row r="7" spans="1:32" s="113" customFormat="1" ht="12.75" customHeight="1">
      <c r="A7" s="87"/>
      <c r="B7" s="117"/>
      <c r="C7" s="109"/>
      <c r="D7" s="109"/>
      <c r="E7" s="109"/>
      <c r="F7" s="110"/>
      <c r="G7" s="111"/>
      <c r="H7" s="111"/>
      <c r="I7" s="110"/>
      <c r="J7" s="110"/>
      <c r="K7" s="110"/>
      <c r="L7" s="110"/>
      <c r="M7" s="110"/>
      <c r="N7" s="46"/>
      <c r="O7" s="85"/>
      <c r="P7" s="109"/>
      <c r="Q7" s="109"/>
      <c r="R7" s="109"/>
      <c r="S7" s="110"/>
      <c r="T7" s="110"/>
      <c r="U7" s="111"/>
      <c r="V7" s="111"/>
      <c r="W7" s="109"/>
      <c r="X7" s="111"/>
      <c r="Y7" s="111"/>
      <c r="Z7" s="109"/>
      <c r="AA7" s="110"/>
      <c r="AB7" s="111"/>
      <c r="AC7" s="111"/>
      <c r="AD7" s="150"/>
      <c r="AE7" s="150"/>
      <c r="AF7" s="128"/>
    </row>
    <row r="8" spans="1:32" s="113" customFormat="1" ht="15" customHeight="1">
      <c r="A8" s="87" t="s">
        <v>2</v>
      </c>
      <c r="B8" s="117">
        <v>17399</v>
      </c>
      <c r="C8" s="43">
        <v>28202</v>
      </c>
      <c r="D8" s="43">
        <v>38968</v>
      </c>
      <c r="E8" s="201">
        <v>17408</v>
      </c>
      <c r="F8" s="201">
        <v>17395</v>
      </c>
      <c r="G8" s="234">
        <v>41566</v>
      </c>
      <c r="H8" s="234"/>
      <c r="I8" s="201">
        <v>11790</v>
      </c>
      <c r="J8" s="201">
        <v>41442</v>
      </c>
      <c r="K8" s="201">
        <v>33757</v>
      </c>
      <c r="L8" s="201">
        <v>11933</v>
      </c>
      <c r="M8" s="201">
        <v>17593</v>
      </c>
      <c r="N8" s="237">
        <v>42037</v>
      </c>
      <c r="O8" s="237"/>
      <c r="P8" s="201">
        <v>29040</v>
      </c>
      <c r="Q8" s="201">
        <v>61382</v>
      </c>
      <c r="R8" s="201">
        <v>60273</v>
      </c>
      <c r="S8" s="201">
        <v>19649</v>
      </c>
      <c r="T8" s="201">
        <v>13076</v>
      </c>
      <c r="U8" s="234">
        <v>29686</v>
      </c>
      <c r="V8" s="234"/>
      <c r="W8" s="66">
        <v>18311</v>
      </c>
      <c r="X8" s="237">
        <v>27452</v>
      </c>
      <c r="Y8" s="237"/>
      <c r="Z8" s="201">
        <v>13366</v>
      </c>
      <c r="AA8" s="201">
        <v>16653</v>
      </c>
      <c r="AB8" s="237">
        <v>29243</v>
      </c>
      <c r="AC8" s="237"/>
      <c r="AD8" s="136">
        <v>16634</v>
      </c>
      <c r="AE8" s="136">
        <v>53825</v>
      </c>
      <c r="AF8" s="135"/>
    </row>
    <row r="9" spans="1:32" s="37" customFormat="1" ht="15">
      <c r="A9" s="87"/>
      <c r="B9" s="117"/>
      <c r="C9" s="26"/>
      <c r="D9" s="26"/>
      <c r="E9" s="26"/>
      <c r="F9" s="19"/>
      <c r="G9" s="44"/>
      <c r="H9" s="44"/>
      <c r="I9" s="19"/>
      <c r="J9" s="19"/>
      <c r="K9" s="19"/>
      <c r="L9" s="19"/>
      <c r="M9" s="19"/>
      <c r="N9" s="46"/>
      <c r="O9" s="85"/>
      <c r="P9" s="26"/>
      <c r="Q9" s="26"/>
      <c r="R9" s="26"/>
      <c r="S9" s="19"/>
      <c r="T9" s="19"/>
      <c r="U9" s="44"/>
      <c r="V9" s="44"/>
      <c r="W9" s="26"/>
      <c r="X9" s="46"/>
      <c r="Y9" s="44"/>
      <c r="Z9" s="19"/>
      <c r="AA9" s="19"/>
      <c r="AB9" s="44"/>
      <c r="AC9" s="44"/>
      <c r="AD9" s="151"/>
      <c r="AE9" s="151"/>
      <c r="AF9" s="129"/>
    </row>
    <row r="10" spans="1:32" s="37" customFormat="1">
      <c r="A10" s="36" t="s">
        <v>3</v>
      </c>
      <c r="B10" s="131">
        <f t="shared" ref="B10:AB10" si="2">+B6+B8</f>
        <v>141259</v>
      </c>
      <c r="C10" s="202">
        <f t="shared" si="2"/>
        <v>168142</v>
      </c>
      <c r="D10" s="202">
        <f t="shared" si="2"/>
        <v>158220</v>
      </c>
      <c r="E10" s="202">
        <f t="shared" si="2"/>
        <v>149832</v>
      </c>
      <c r="F10" s="202">
        <f t="shared" si="2"/>
        <v>170148</v>
      </c>
      <c r="G10" s="244">
        <f t="shared" si="2"/>
        <v>41566</v>
      </c>
      <c r="H10" s="244"/>
      <c r="I10" s="202">
        <f>+I6+I8</f>
        <v>172976</v>
      </c>
      <c r="J10" s="202">
        <f t="shared" si="2"/>
        <v>182541</v>
      </c>
      <c r="K10" s="202">
        <f t="shared" si="2"/>
        <v>139576</v>
      </c>
      <c r="L10" s="202">
        <f t="shared" si="2"/>
        <v>117465</v>
      </c>
      <c r="M10" s="202">
        <f t="shared" si="2"/>
        <v>150948</v>
      </c>
      <c r="N10" s="239">
        <f>+N6+N8</f>
        <v>42037</v>
      </c>
      <c r="O10" s="239"/>
      <c r="P10" s="202">
        <f>+P8+P6</f>
        <v>185235</v>
      </c>
      <c r="Q10" s="202">
        <f t="shared" si="2"/>
        <v>198461</v>
      </c>
      <c r="R10" s="202">
        <f t="shared" si="2"/>
        <v>150071</v>
      </c>
      <c r="S10" s="202">
        <f t="shared" si="2"/>
        <v>110328</v>
      </c>
      <c r="T10" s="202">
        <f>+T6+T8</f>
        <v>145814</v>
      </c>
      <c r="U10" s="244">
        <f>+U6+U8</f>
        <v>29686</v>
      </c>
      <c r="V10" s="244"/>
      <c r="W10" s="45">
        <f>+W6+W8</f>
        <v>174450</v>
      </c>
      <c r="X10" s="244">
        <f t="shared" si="2"/>
        <v>287323</v>
      </c>
      <c r="Y10" s="244"/>
      <c r="Z10" s="202">
        <f>+Z6+Z8</f>
        <v>132967</v>
      </c>
      <c r="AA10" s="202">
        <f t="shared" si="2"/>
        <v>150160</v>
      </c>
      <c r="AB10" s="244">
        <f t="shared" si="2"/>
        <v>29243</v>
      </c>
      <c r="AC10" s="244"/>
      <c r="AD10" s="152">
        <f>+AD6+AD8</f>
        <v>198260</v>
      </c>
      <c r="AE10" s="152">
        <f>+AE6+AE8</f>
        <v>235735</v>
      </c>
      <c r="AF10" s="132">
        <f>+AF6+AF8</f>
        <v>0</v>
      </c>
    </row>
    <row r="11" spans="1:32" s="37" customFormat="1" ht="13.5" thickBot="1">
      <c r="A11" s="107"/>
      <c r="B11" s="76"/>
      <c r="C11" s="79"/>
      <c r="D11" s="79"/>
      <c r="E11" s="79"/>
      <c r="F11" s="74"/>
      <c r="G11" s="75"/>
      <c r="H11" s="75"/>
      <c r="I11" s="74"/>
      <c r="J11" s="74"/>
      <c r="K11" s="74"/>
      <c r="L11" s="74"/>
      <c r="M11" s="74"/>
      <c r="N11" s="78"/>
      <c r="O11" s="78"/>
      <c r="P11" s="79"/>
      <c r="Q11" s="79"/>
      <c r="R11" s="79"/>
      <c r="S11" s="74"/>
      <c r="T11" s="74"/>
      <c r="U11" s="75"/>
      <c r="V11" s="75"/>
      <c r="W11" s="79"/>
      <c r="X11" s="78"/>
      <c r="Y11" s="75"/>
      <c r="Z11" s="74"/>
      <c r="AA11" s="74"/>
      <c r="AB11" s="75"/>
      <c r="AC11" s="75"/>
      <c r="AD11" s="79"/>
      <c r="AE11" s="79"/>
      <c r="AF11" s="130"/>
    </row>
    <row r="13" spans="1:32">
      <c r="I13" s="34"/>
      <c r="J13" s="34"/>
      <c r="K13" s="34"/>
      <c r="L13" s="34"/>
      <c r="AB13" s="23"/>
    </row>
    <row r="14" spans="1:32">
      <c r="V14" s="23"/>
    </row>
    <row r="15" spans="1:32" s="133" customFormat="1" ht="10.5">
      <c r="B15" s="134"/>
      <c r="C15" s="134"/>
      <c r="D15" s="134"/>
      <c r="E15" s="134"/>
      <c r="F15" s="134"/>
      <c r="I15" s="134"/>
      <c r="K15" s="134"/>
      <c r="Q15" s="134"/>
      <c r="R15" s="134"/>
      <c r="S15" s="134"/>
      <c r="T15" s="134"/>
      <c r="U15" s="134"/>
    </row>
    <row r="16" spans="1:32">
      <c r="J16" s="34"/>
    </row>
    <row r="20" spans="14:14">
      <c r="N20" s="22"/>
    </row>
  </sheetData>
  <mergeCells count="15">
    <mergeCell ref="AB10:AC10"/>
    <mergeCell ref="G6:H6"/>
    <mergeCell ref="G8:H8"/>
    <mergeCell ref="G10:H10"/>
    <mergeCell ref="N6:O6"/>
    <mergeCell ref="N8:O8"/>
    <mergeCell ref="U6:V6"/>
    <mergeCell ref="AB6:AC6"/>
    <mergeCell ref="U8:V8"/>
    <mergeCell ref="AB8:AC8"/>
    <mergeCell ref="N10:O10"/>
    <mergeCell ref="X6:Y6"/>
    <mergeCell ref="X8:Y8"/>
    <mergeCell ref="X10:Y10"/>
    <mergeCell ref="U10:V10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E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7" sqref="E17"/>
    </sheetView>
  </sheetViews>
  <sheetFormatPr baseColWidth="10" defaultRowHeight="12.75"/>
  <cols>
    <col min="2" max="2" width="7.5703125" bestFit="1" customWidth="1"/>
    <col min="3" max="3" width="7.5703125" customWidth="1"/>
    <col min="4" max="6" width="7.5703125" bestFit="1" customWidth="1"/>
    <col min="7" max="7" width="7.42578125" bestFit="1" customWidth="1"/>
    <col min="8" max="13" width="7.5703125" bestFit="1" customWidth="1"/>
    <col min="14" max="14" width="6.5703125" bestFit="1" customWidth="1"/>
    <col min="15" max="15" width="7.42578125" bestFit="1" customWidth="1"/>
    <col min="16" max="20" width="7.5703125" bestFit="1" customWidth="1"/>
    <col min="21" max="21" width="6.5703125" bestFit="1" customWidth="1"/>
    <col min="22" max="23" width="7.5703125" bestFit="1" customWidth="1"/>
    <col min="24" max="24" width="7.85546875" customWidth="1"/>
    <col min="25" max="25" width="7.5703125" bestFit="1" customWidth="1"/>
    <col min="26" max="27" width="7.42578125" customWidth="1"/>
    <col min="28" max="28" width="8.140625" customWidth="1"/>
    <col min="29" max="29" width="11.140625" customWidth="1"/>
    <col min="30" max="30" width="7.5703125" bestFit="1" customWidth="1"/>
    <col min="31" max="31" width="6.5703125" bestFit="1" customWidth="1"/>
  </cols>
  <sheetData>
    <row r="1" spans="1:31">
      <c r="A1" s="2"/>
      <c r="B1" s="24">
        <v>45931</v>
      </c>
      <c r="C1" s="24">
        <f t="shared" ref="C1:R2" si="0">+B1+1</f>
        <v>45932</v>
      </c>
      <c r="D1" s="24">
        <f t="shared" si="0"/>
        <v>45933</v>
      </c>
      <c r="E1" s="24">
        <f t="shared" si="0"/>
        <v>45934</v>
      </c>
      <c r="F1" s="24">
        <f t="shared" si="0"/>
        <v>45935</v>
      </c>
      <c r="G1" s="24">
        <f t="shared" si="0"/>
        <v>45936</v>
      </c>
      <c r="H1" s="24">
        <f t="shared" si="0"/>
        <v>45937</v>
      </c>
      <c r="I1" s="24">
        <f t="shared" si="0"/>
        <v>45938</v>
      </c>
      <c r="J1" s="24">
        <f t="shared" si="0"/>
        <v>45939</v>
      </c>
      <c r="K1" s="24">
        <f t="shared" si="0"/>
        <v>45940</v>
      </c>
      <c r="L1" s="24">
        <f t="shared" si="0"/>
        <v>45941</v>
      </c>
      <c r="M1" s="24">
        <f t="shared" si="0"/>
        <v>45942</v>
      </c>
      <c r="N1" s="24">
        <f t="shared" si="0"/>
        <v>45943</v>
      </c>
      <c r="O1" s="24">
        <f t="shared" si="0"/>
        <v>45944</v>
      </c>
      <c r="P1" s="24">
        <f t="shared" si="0"/>
        <v>45945</v>
      </c>
      <c r="Q1" s="24">
        <f t="shared" si="0"/>
        <v>45946</v>
      </c>
      <c r="R1" s="24">
        <f t="shared" si="0"/>
        <v>45947</v>
      </c>
      <c r="S1" s="24">
        <f t="shared" ref="S1:AE2" si="1">+R1+1</f>
        <v>45948</v>
      </c>
      <c r="T1" s="24">
        <f t="shared" si="1"/>
        <v>45949</v>
      </c>
      <c r="U1" s="24">
        <f t="shared" si="1"/>
        <v>45950</v>
      </c>
      <c r="V1" s="24">
        <f t="shared" si="1"/>
        <v>45951</v>
      </c>
      <c r="W1" s="24">
        <f t="shared" si="1"/>
        <v>45952</v>
      </c>
      <c r="X1" s="24">
        <f t="shared" si="1"/>
        <v>45953</v>
      </c>
      <c r="Y1" s="24">
        <f t="shared" si="1"/>
        <v>45954</v>
      </c>
      <c r="Z1" s="24">
        <f t="shared" si="1"/>
        <v>45955</v>
      </c>
      <c r="AA1" s="24">
        <f t="shared" si="1"/>
        <v>45956</v>
      </c>
      <c r="AB1" s="24">
        <f t="shared" si="1"/>
        <v>45957</v>
      </c>
      <c r="AC1" s="24">
        <f t="shared" si="1"/>
        <v>45958</v>
      </c>
      <c r="AD1" s="24">
        <f t="shared" si="1"/>
        <v>45959</v>
      </c>
      <c r="AE1" s="38">
        <f t="shared" si="1"/>
        <v>45960</v>
      </c>
    </row>
    <row r="2" spans="1:31">
      <c r="A2" s="4"/>
      <c r="B2" s="5">
        <v>46113</v>
      </c>
      <c r="C2" s="5">
        <f t="shared" si="0"/>
        <v>46114</v>
      </c>
      <c r="D2" s="5">
        <f t="shared" si="0"/>
        <v>46115</v>
      </c>
      <c r="E2" s="5">
        <f t="shared" si="0"/>
        <v>46116</v>
      </c>
      <c r="F2" s="5">
        <f t="shared" si="0"/>
        <v>46117</v>
      </c>
      <c r="G2" s="5">
        <f t="shared" si="0"/>
        <v>46118</v>
      </c>
      <c r="H2" s="5">
        <f t="shared" si="0"/>
        <v>46119</v>
      </c>
      <c r="I2" s="5">
        <f t="shared" si="0"/>
        <v>46120</v>
      </c>
      <c r="J2" s="5">
        <f t="shared" si="0"/>
        <v>46121</v>
      </c>
      <c r="K2" s="5">
        <f t="shared" si="0"/>
        <v>46122</v>
      </c>
      <c r="L2" s="5">
        <f t="shared" si="0"/>
        <v>46123</v>
      </c>
      <c r="M2" s="5">
        <f t="shared" si="0"/>
        <v>46124</v>
      </c>
      <c r="N2" s="5">
        <f t="shared" si="0"/>
        <v>46125</v>
      </c>
      <c r="O2" s="5">
        <f t="shared" si="0"/>
        <v>46126</v>
      </c>
      <c r="P2" s="5">
        <f t="shared" si="0"/>
        <v>46127</v>
      </c>
      <c r="Q2" s="5">
        <f t="shared" si="0"/>
        <v>46128</v>
      </c>
      <c r="R2" s="5">
        <f t="shared" si="0"/>
        <v>46129</v>
      </c>
      <c r="S2" s="5">
        <f t="shared" si="1"/>
        <v>46130</v>
      </c>
      <c r="T2" s="5">
        <f t="shared" si="1"/>
        <v>46131</v>
      </c>
      <c r="U2" s="5">
        <f t="shared" si="1"/>
        <v>46132</v>
      </c>
      <c r="V2" s="5">
        <f t="shared" si="1"/>
        <v>46133</v>
      </c>
      <c r="W2" s="5">
        <f t="shared" si="1"/>
        <v>46134</v>
      </c>
      <c r="X2" s="5">
        <f t="shared" si="1"/>
        <v>46135</v>
      </c>
      <c r="Y2" s="5">
        <f t="shared" si="1"/>
        <v>46136</v>
      </c>
      <c r="Z2" s="5">
        <f t="shared" si="1"/>
        <v>46137</v>
      </c>
      <c r="AA2" s="5">
        <f t="shared" si="1"/>
        <v>46138</v>
      </c>
      <c r="AB2" s="5">
        <f t="shared" si="1"/>
        <v>46139</v>
      </c>
      <c r="AC2" s="5">
        <f t="shared" si="1"/>
        <v>46140</v>
      </c>
      <c r="AD2" s="5">
        <f t="shared" si="1"/>
        <v>46141</v>
      </c>
      <c r="AE2" s="39">
        <f t="shared" si="1"/>
        <v>46142</v>
      </c>
    </row>
    <row r="3" spans="1:31" ht="13.5" thickBot="1">
      <c r="A3" s="6"/>
      <c r="B3" s="42"/>
      <c r="C3" s="16"/>
      <c r="D3" s="16"/>
      <c r="E3" s="16"/>
      <c r="F3" s="16"/>
      <c r="G3" s="7"/>
      <c r="H3" s="7"/>
      <c r="I3" s="7"/>
      <c r="J3" s="7"/>
      <c r="K3" s="42"/>
      <c r="L3" s="16"/>
      <c r="M3" s="120"/>
      <c r="N3" s="42"/>
      <c r="O3" s="42"/>
      <c r="P3" s="42"/>
      <c r="Q3" s="7"/>
      <c r="R3" s="7"/>
      <c r="S3" s="16"/>
      <c r="T3" s="16"/>
      <c r="U3" s="42"/>
      <c r="V3" s="7"/>
      <c r="W3" s="7"/>
      <c r="X3" s="7"/>
      <c r="Y3" s="7"/>
      <c r="Z3" s="16"/>
      <c r="AA3" s="16"/>
      <c r="AB3" s="42"/>
      <c r="AC3" s="42"/>
      <c r="AD3" s="42"/>
      <c r="AE3" s="126"/>
    </row>
    <row r="4" spans="1:31" s="113" customFormat="1" ht="12.75" customHeight="1">
      <c r="A4" s="100" t="s">
        <v>0</v>
      </c>
      <c r="B4" s="109"/>
      <c r="C4" s="111"/>
      <c r="D4" s="111"/>
      <c r="E4" s="111"/>
      <c r="F4" s="111"/>
      <c r="G4" s="110"/>
      <c r="H4" s="110"/>
      <c r="I4" s="110"/>
      <c r="J4" s="110"/>
      <c r="K4" s="109"/>
      <c r="L4" s="103"/>
      <c r="M4" s="121"/>
      <c r="N4" s="109"/>
      <c r="O4" s="109"/>
      <c r="P4" s="109"/>
      <c r="Q4" s="110"/>
      <c r="R4" s="110"/>
      <c r="S4" s="112"/>
      <c r="T4" s="111"/>
      <c r="U4" s="125"/>
      <c r="V4" s="104"/>
      <c r="W4" s="104"/>
      <c r="X4" s="110"/>
      <c r="Y4" s="110"/>
      <c r="Z4" s="111"/>
      <c r="AA4" s="111"/>
      <c r="AB4" s="150"/>
      <c r="AC4" s="150"/>
      <c r="AD4" s="150"/>
      <c r="AE4" s="128"/>
    </row>
    <row r="5" spans="1:31" s="113" customFormat="1" ht="12.75" customHeight="1">
      <c r="A5" s="105"/>
      <c r="B5" s="109"/>
      <c r="C5" s="111"/>
      <c r="D5" s="111"/>
      <c r="E5" s="111"/>
      <c r="F5" s="111"/>
      <c r="G5" s="110"/>
      <c r="H5" s="110"/>
      <c r="I5" s="110"/>
      <c r="J5" s="110"/>
      <c r="K5" s="109"/>
      <c r="L5" s="46"/>
      <c r="M5" s="85"/>
      <c r="N5" s="109"/>
      <c r="O5" s="109"/>
      <c r="P5" s="109"/>
      <c r="Q5" s="110"/>
      <c r="R5" s="110"/>
      <c r="S5" s="111"/>
      <c r="T5" s="111"/>
      <c r="U5" s="109"/>
      <c r="V5" s="69"/>
      <c r="W5" s="69"/>
      <c r="X5" s="109"/>
      <c r="Y5" s="110"/>
      <c r="Z5" s="111"/>
      <c r="AA5" s="111"/>
      <c r="AB5" s="150"/>
      <c r="AC5" s="150"/>
      <c r="AD5" s="150"/>
      <c r="AE5" s="128"/>
    </row>
    <row r="6" spans="1:31" s="113" customFormat="1" ht="15" customHeight="1">
      <c r="A6" s="36" t="s">
        <v>1</v>
      </c>
      <c r="B6" s="109">
        <v>116825</v>
      </c>
      <c r="C6" s="234">
        <v>187225</v>
      </c>
      <c r="D6" s="234"/>
      <c r="E6" s="234"/>
      <c r="F6" s="234"/>
      <c r="G6" s="204">
        <v>171479</v>
      </c>
      <c r="H6" s="204">
        <v>148721</v>
      </c>
      <c r="I6" s="204">
        <v>79617</v>
      </c>
      <c r="J6" s="204">
        <v>105677</v>
      </c>
      <c r="K6" s="43">
        <v>131253</v>
      </c>
      <c r="L6" s="234">
        <v>0</v>
      </c>
      <c r="M6" s="234"/>
      <c r="N6" s="66">
        <v>190204</v>
      </c>
      <c r="O6" s="66">
        <v>170277</v>
      </c>
      <c r="P6" s="66">
        <v>98855</v>
      </c>
      <c r="Q6" s="204">
        <v>124299</v>
      </c>
      <c r="R6" s="204">
        <v>168135</v>
      </c>
      <c r="S6" s="234">
        <v>0</v>
      </c>
      <c r="T6" s="234"/>
      <c r="U6" s="66">
        <v>200760</v>
      </c>
      <c r="V6" s="66">
        <v>217273</v>
      </c>
      <c r="W6" s="66">
        <v>105005</v>
      </c>
      <c r="X6" s="66">
        <v>87363</v>
      </c>
      <c r="Y6" s="66">
        <v>115361</v>
      </c>
      <c r="Z6" s="237">
        <v>0</v>
      </c>
      <c r="AA6" s="237"/>
      <c r="AB6" s="136">
        <v>238646</v>
      </c>
      <c r="AC6" s="136">
        <v>152197</v>
      </c>
      <c r="AD6" s="136">
        <v>92407</v>
      </c>
      <c r="AE6" s="135">
        <v>190317</v>
      </c>
    </row>
    <row r="7" spans="1:31" s="113" customFormat="1" ht="12.75" customHeight="1">
      <c r="A7" s="87"/>
      <c r="B7" s="109"/>
      <c r="C7" s="111"/>
      <c r="D7" s="111"/>
      <c r="E7" s="111"/>
      <c r="F7" s="111"/>
      <c r="G7" s="110"/>
      <c r="H7" s="110"/>
      <c r="I7" s="110"/>
      <c r="J7" s="110"/>
      <c r="K7" s="109"/>
      <c r="L7" s="46"/>
      <c r="M7" s="85"/>
      <c r="N7" s="109"/>
      <c r="O7" s="109"/>
      <c r="P7" s="109"/>
      <c r="Q7" s="110"/>
      <c r="R7" s="110"/>
      <c r="S7" s="111"/>
      <c r="T7" s="111"/>
      <c r="U7" s="109"/>
      <c r="V7" s="109"/>
      <c r="W7" s="109"/>
      <c r="X7" s="109"/>
      <c r="Y7" s="109"/>
      <c r="Z7" s="111"/>
      <c r="AA7" s="111"/>
      <c r="AB7" s="150"/>
      <c r="AC7" s="150"/>
      <c r="AD7" s="150"/>
      <c r="AE7" s="128"/>
    </row>
    <row r="8" spans="1:31" s="113" customFormat="1" ht="15" customHeight="1">
      <c r="A8" s="87" t="s">
        <v>2</v>
      </c>
      <c r="B8" s="43">
        <v>61508</v>
      </c>
      <c r="C8" s="234">
        <v>15180</v>
      </c>
      <c r="D8" s="234"/>
      <c r="E8" s="234"/>
      <c r="F8" s="234"/>
      <c r="G8" s="204">
        <v>21060</v>
      </c>
      <c r="H8" s="204">
        <v>58083</v>
      </c>
      <c r="I8" s="204">
        <v>58857</v>
      </c>
      <c r="J8" s="204">
        <v>12070</v>
      </c>
      <c r="K8" s="43">
        <v>12149</v>
      </c>
      <c r="L8" s="234">
        <v>29699</v>
      </c>
      <c r="M8" s="234"/>
      <c r="N8" s="204">
        <v>18403</v>
      </c>
      <c r="O8" s="204">
        <v>60538</v>
      </c>
      <c r="P8" s="204">
        <v>72106</v>
      </c>
      <c r="Q8" s="204">
        <v>27833</v>
      </c>
      <c r="R8" s="204">
        <v>25365</v>
      </c>
      <c r="S8" s="234">
        <v>71846</v>
      </c>
      <c r="T8" s="234"/>
      <c r="U8" s="66">
        <v>15003</v>
      </c>
      <c r="V8" s="66">
        <v>74634</v>
      </c>
      <c r="W8" s="66">
        <v>141982</v>
      </c>
      <c r="X8" s="66">
        <v>100012</v>
      </c>
      <c r="Y8" s="66">
        <v>34285</v>
      </c>
      <c r="Z8" s="237">
        <v>27063</v>
      </c>
      <c r="AA8" s="237"/>
      <c r="AB8" s="136">
        <v>17186</v>
      </c>
      <c r="AC8" s="136">
        <v>108492</v>
      </c>
      <c r="AD8" s="136">
        <v>116067</v>
      </c>
      <c r="AE8" s="135">
        <v>43193</v>
      </c>
    </row>
    <row r="9" spans="1:31" s="37" customFormat="1" ht="15">
      <c r="A9" s="87"/>
      <c r="B9" s="26"/>
      <c r="C9" s="44"/>
      <c r="D9" s="44"/>
      <c r="E9" s="44"/>
      <c r="F9" s="44"/>
      <c r="G9" s="19"/>
      <c r="H9" s="19"/>
      <c r="I9" s="19"/>
      <c r="J9" s="19"/>
      <c r="K9" s="26"/>
      <c r="L9" s="46"/>
      <c r="M9" s="85"/>
      <c r="N9" s="26"/>
      <c r="O9" s="26"/>
      <c r="P9" s="26"/>
      <c r="Q9" s="19"/>
      <c r="R9" s="19"/>
      <c r="S9" s="44"/>
      <c r="T9" s="44"/>
      <c r="U9" s="26"/>
      <c r="V9" s="69"/>
      <c r="W9" s="69"/>
      <c r="X9" s="26"/>
      <c r="Y9" s="19"/>
      <c r="Z9" s="44"/>
      <c r="AA9" s="44"/>
      <c r="AB9" s="151"/>
      <c r="AC9" s="151"/>
      <c r="AD9" s="151"/>
      <c r="AE9" s="129"/>
    </row>
    <row r="10" spans="1:31" s="37" customFormat="1">
      <c r="A10" s="36" t="s">
        <v>3</v>
      </c>
      <c r="B10" s="205">
        <f t="shared" ref="B10:Z10" si="2">+B6+B8</f>
        <v>178333</v>
      </c>
      <c r="C10" s="244">
        <f>+C6+C8</f>
        <v>202405</v>
      </c>
      <c r="D10" s="244"/>
      <c r="E10" s="244"/>
      <c r="F10" s="244"/>
      <c r="G10" s="205">
        <f>+G6+G8</f>
        <v>192539</v>
      </c>
      <c r="H10" s="205">
        <f t="shared" si="2"/>
        <v>206804</v>
      </c>
      <c r="I10" s="205">
        <f t="shared" si="2"/>
        <v>138474</v>
      </c>
      <c r="J10" s="205">
        <f t="shared" si="2"/>
        <v>117747</v>
      </c>
      <c r="K10" s="45">
        <f t="shared" si="2"/>
        <v>143402</v>
      </c>
      <c r="L10" s="244">
        <f>+L6+L8</f>
        <v>29699</v>
      </c>
      <c r="M10" s="244"/>
      <c r="N10" s="205">
        <f t="shared" si="2"/>
        <v>208607</v>
      </c>
      <c r="O10" s="205">
        <f t="shared" si="2"/>
        <v>230815</v>
      </c>
      <c r="P10" s="205">
        <f t="shared" si="2"/>
        <v>170961</v>
      </c>
      <c r="Q10" s="205">
        <f t="shared" si="2"/>
        <v>152132</v>
      </c>
      <c r="R10" s="205">
        <f>+R6+R8</f>
        <v>193500</v>
      </c>
      <c r="S10" s="244">
        <f>+S6+S8</f>
        <v>71846</v>
      </c>
      <c r="T10" s="244"/>
      <c r="U10" s="45">
        <f>+U6+U8</f>
        <v>215763</v>
      </c>
      <c r="V10" s="205">
        <f t="shared" si="2"/>
        <v>291907</v>
      </c>
      <c r="W10" s="205">
        <f t="shared" si="2"/>
        <v>246987</v>
      </c>
      <c r="X10" s="205">
        <f>+X6+X8</f>
        <v>187375</v>
      </c>
      <c r="Y10" s="205">
        <f t="shared" si="2"/>
        <v>149646</v>
      </c>
      <c r="Z10" s="244">
        <f t="shared" si="2"/>
        <v>27063</v>
      </c>
      <c r="AA10" s="244"/>
      <c r="AB10" s="152">
        <f>+AB6+AB8</f>
        <v>255832</v>
      </c>
      <c r="AC10" s="152">
        <f>+AC6+AC8</f>
        <v>260689</v>
      </c>
      <c r="AD10" s="152">
        <f>+AD6+AD8</f>
        <v>208474</v>
      </c>
      <c r="AE10" s="132">
        <f>+AE6+AE8</f>
        <v>233510</v>
      </c>
    </row>
    <row r="11" spans="1:31" s="37" customFormat="1" ht="13.5" thickBot="1">
      <c r="A11" s="107"/>
      <c r="B11" s="79"/>
      <c r="C11" s="75"/>
      <c r="D11" s="75"/>
      <c r="E11" s="75"/>
      <c r="F11" s="75"/>
      <c r="G11" s="74"/>
      <c r="H11" s="74"/>
      <c r="I11" s="74"/>
      <c r="J11" s="74"/>
      <c r="K11" s="79"/>
      <c r="L11" s="78"/>
      <c r="M11" s="78"/>
      <c r="N11" s="79"/>
      <c r="O11" s="79"/>
      <c r="P11" s="79"/>
      <c r="Q11" s="74"/>
      <c r="R11" s="74"/>
      <c r="S11" s="75"/>
      <c r="T11" s="75"/>
      <c r="U11" s="79"/>
      <c r="V11" s="76"/>
      <c r="W11" s="76"/>
      <c r="X11" s="74"/>
      <c r="Y11" s="74"/>
      <c r="Z11" s="75"/>
      <c r="AA11" s="75"/>
      <c r="AB11" s="79"/>
      <c r="AC11" s="79"/>
      <c r="AD11" s="79"/>
      <c r="AE11" s="130"/>
    </row>
    <row r="13" spans="1:31">
      <c r="G13" s="34"/>
      <c r="H13" s="34"/>
      <c r="I13" s="34"/>
      <c r="J13" s="34"/>
      <c r="Z13" s="23"/>
    </row>
    <row r="14" spans="1:31">
      <c r="T14" s="23"/>
    </row>
    <row r="15" spans="1:31" s="133" customFormat="1" ht="10.5">
      <c r="B15" s="134"/>
      <c r="C15" s="134"/>
      <c r="D15" s="134"/>
      <c r="G15" s="134"/>
      <c r="I15" s="134"/>
      <c r="O15" s="134"/>
      <c r="P15" s="134"/>
      <c r="Q15" s="134"/>
      <c r="R15" s="134"/>
      <c r="S15" s="134"/>
    </row>
    <row r="16" spans="1:31">
      <c r="H16" s="34"/>
    </row>
    <row r="20" spans="12:12">
      <c r="L20" s="22"/>
    </row>
  </sheetData>
  <mergeCells count="12">
    <mergeCell ref="S10:T10"/>
    <mergeCell ref="Z10:AA10"/>
    <mergeCell ref="C6:F6"/>
    <mergeCell ref="C8:F8"/>
    <mergeCell ref="C10:F10"/>
    <mergeCell ref="L6:M6"/>
    <mergeCell ref="L8:M8"/>
    <mergeCell ref="L10:M10"/>
    <mergeCell ref="S6:T6"/>
    <mergeCell ref="Z6:AA6"/>
    <mergeCell ref="S8:T8"/>
    <mergeCell ref="Z8:AA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/>
  <cols>
    <col min="2" max="4" width="7.5703125" bestFit="1" customWidth="1"/>
    <col min="5" max="5" width="7.42578125" bestFit="1" customWidth="1"/>
    <col min="6" max="11" width="7.5703125" bestFit="1" customWidth="1"/>
    <col min="12" max="12" width="6.5703125" bestFit="1" customWidth="1"/>
    <col min="13" max="13" width="7.42578125" bestFit="1" customWidth="1"/>
    <col min="14" max="18" width="7.5703125" bestFit="1" customWidth="1"/>
    <col min="19" max="19" width="6.5703125" bestFit="1" customWidth="1"/>
    <col min="20" max="21" width="7.5703125" bestFit="1" customWidth="1"/>
    <col min="22" max="22" width="7.85546875" customWidth="1"/>
    <col min="23" max="23" width="7.5703125" bestFit="1" customWidth="1"/>
    <col min="24" max="25" width="7.42578125" customWidth="1"/>
    <col min="26" max="26" width="8.140625" customWidth="1"/>
    <col min="27" max="27" width="11.140625" customWidth="1"/>
    <col min="28" max="28" width="7.5703125" bestFit="1" customWidth="1"/>
    <col min="29" max="29" width="6.5703125" bestFit="1" customWidth="1"/>
    <col min="31" max="31" width="8.28515625" customWidth="1"/>
    <col min="32" max="32" width="6.7109375" bestFit="1" customWidth="1"/>
  </cols>
  <sheetData>
    <row r="1" spans="1:32">
      <c r="A1" s="2"/>
      <c r="B1" s="24">
        <v>46143</v>
      </c>
      <c r="C1" s="24">
        <f t="shared" ref="C1:P2" si="0">+B1+1</f>
        <v>46144</v>
      </c>
      <c r="D1" s="24">
        <f t="shared" si="0"/>
        <v>46145</v>
      </c>
      <c r="E1" s="24">
        <f t="shared" si="0"/>
        <v>46146</v>
      </c>
      <c r="F1" s="24">
        <f t="shared" si="0"/>
        <v>46147</v>
      </c>
      <c r="G1" s="24">
        <f t="shared" si="0"/>
        <v>46148</v>
      </c>
      <c r="H1" s="24">
        <f t="shared" si="0"/>
        <v>46149</v>
      </c>
      <c r="I1" s="24">
        <f t="shared" si="0"/>
        <v>46150</v>
      </c>
      <c r="J1" s="24">
        <f t="shared" si="0"/>
        <v>46151</v>
      </c>
      <c r="K1" s="48">
        <f t="shared" si="0"/>
        <v>46152</v>
      </c>
      <c r="L1" s="48">
        <f t="shared" si="0"/>
        <v>46153</v>
      </c>
      <c r="M1" s="24">
        <f t="shared" si="0"/>
        <v>46154</v>
      </c>
      <c r="N1" s="24">
        <f t="shared" si="0"/>
        <v>46155</v>
      </c>
      <c r="O1" s="24">
        <f t="shared" si="0"/>
        <v>46156</v>
      </c>
      <c r="P1" s="24">
        <f t="shared" si="0"/>
        <v>46157</v>
      </c>
      <c r="Q1" s="24">
        <f t="shared" ref="Q1:AC2" si="1">+P1+1</f>
        <v>46158</v>
      </c>
      <c r="R1" s="24">
        <f t="shared" si="1"/>
        <v>46159</v>
      </c>
      <c r="S1" s="24">
        <f t="shared" si="1"/>
        <v>46160</v>
      </c>
      <c r="T1" s="24">
        <f t="shared" si="1"/>
        <v>46161</v>
      </c>
      <c r="U1" s="24">
        <f t="shared" si="1"/>
        <v>46162</v>
      </c>
      <c r="V1" s="24">
        <f t="shared" si="1"/>
        <v>46163</v>
      </c>
      <c r="W1" s="24">
        <f t="shared" si="1"/>
        <v>46164</v>
      </c>
      <c r="X1" s="24">
        <f t="shared" si="1"/>
        <v>46165</v>
      </c>
      <c r="Y1" s="24">
        <f t="shared" si="1"/>
        <v>46166</v>
      </c>
      <c r="Z1" s="24">
        <f t="shared" si="1"/>
        <v>46167</v>
      </c>
      <c r="AA1" s="24">
        <f t="shared" si="1"/>
        <v>46168</v>
      </c>
      <c r="AB1" s="24">
        <f t="shared" si="1"/>
        <v>46169</v>
      </c>
      <c r="AC1" s="88">
        <f t="shared" si="1"/>
        <v>46170</v>
      </c>
      <c r="AD1" s="24">
        <f t="shared" ref="AD1:AD2" si="2">+AC1+1</f>
        <v>46171</v>
      </c>
      <c r="AE1" s="88">
        <f t="shared" ref="AE1:AE2" si="3">+AD1+1</f>
        <v>46172</v>
      </c>
      <c r="AF1" s="38">
        <f t="shared" ref="AF1:AF2" si="4">+AE1+1</f>
        <v>46173</v>
      </c>
    </row>
    <row r="2" spans="1:32">
      <c r="A2" s="4"/>
      <c r="B2" s="5">
        <v>46143</v>
      </c>
      <c r="C2" s="5">
        <f t="shared" si="0"/>
        <v>46144</v>
      </c>
      <c r="D2" s="5">
        <f t="shared" si="0"/>
        <v>46145</v>
      </c>
      <c r="E2" s="5">
        <f t="shared" si="0"/>
        <v>46146</v>
      </c>
      <c r="F2" s="5">
        <f t="shared" si="0"/>
        <v>46147</v>
      </c>
      <c r="G2" s="5">
        <f t="shared" si="0"/>
        <v>46148</v>
      </c>
      <c r="H2" s="5">
        <f t="shared" si="0"/>
        <v>46149</v>
      </c>
      <c r="I2" s="5">
        <f t="shared" si="0"/>
        <v>46150</v>
      </c>
      <c r="J2" s="5">
        <f t="shared" si="0"/>
        <v>46151</v>
      </c>
      <c r="K2" s="49">
        <f t="shared" si="0"/>
        <v>46152</v>
      </c>
      <c r="L2" s="49">
        <f t="shared" si="0"/>
        <v>46153</v>
      </c>
      <c r="M2" s="5">
        <f t="shared" si="0"/>
        <v>46154</v>
      </c>
      <c r="N2" s="5">
        <f t="shared" si="0"/>
        <v>46155</v>
      </c>
      <c r="O2" s="5">
        <f t="shared" si="0"/>
        <v>46156</v>
      </c>
      <c r="P2" s="5">
        <f t="shared" si="0"/>
        <v>46157</v>
      </c>
      <c r="Q2" s="5">
        <f t="shared" si="1"/>
        <v>46158</v>
      </c>
      <c r="R2" s="5">
        <f t="shared" si="1"/>
        <v>46159</v>
      </c>
      <c r="S2" s="5">
        <f t="shared" si="1"/>
        <v>46160</v>
      </c>
      <c r="T2" s="5">
        <f t="shared" si="1"/>
        <v>46161</v>
      </c>
      <c r="U2" s="5">
        <f t="shared" si="1"/>
        <v>46162</v>
      </c>
      <c r="V2" s="5">
        <f t="shared" si="1"/>
        <v>46163</v>
      </c>
      <c r="W2" s="5">
        <f t="shared" si="1"/>
        <v>46164</v>
      </c>
      <c r="X2" s="5">
        <f t="shared" si="1"/>
        <v>46165</v>
      </c>
      <c r="Y2" s="5">
        <f t="shared" si="1"/>
        <v>46166</v>
      </c>
      <c r="Z2" s="5">
        <f t="shared" si="1"/>
        <v>46167</v>
      </c>
      <c r="AA2" s="5">
        <f t="shared" si="1"/>
        <v>46168</v>
      </c>
      <c r="AB2" s="5">
        <f t="shared" si="1"/>
        <v>46169</v>
      </c>
      <c r="AC2" s="89">
        <f t="shared" si="1"/>
        <v>46170</v>
      </c>
      <c r="AD2" s="5">
        <f t="shared" si="2"/>
        <v>46171</v>
      </c>
      <c r="AE2" s="89">
        <f t="shared" si="3"/>
        <v>46172</v>
      </c>
      <c r="AF2" s="39">
        <f t="shared" si="4"/>
        <v>46173</v>
      </c>
    </row>
    <row r="3" spans="1:32" ht="13.5" thickBot="1">
      <c r="A3" s="6"/>
      <c r="B3" s="16"/>
      <c r="C3" s="16"/>
      <c r="D3" s="16"/>
      <c r="E3" s="7"/>
      <c r="F3" s="7"/>
      <c r="G3" s="7"/>
      <c r="H3" s="7"/>
      <c r="I3" s="42"/>
      <c r="J3" s="16"/>
      <c r="K3" s="16"/>
      <c r="L3" s="42"/>
      <c r="M3" s="42"/>
      <c r="N3" s="42"/>
      <c r="O3" s="7"/>
      <c r="P3" s="7"/>
      <c r="Q3" s="16"/>
      <c r="R3" s="16"/>
      <c r="S3" s="42"/>
      <c r="T3" s="7"/>
      <c r="U3" s="7"/>
      <c r="V3" s="7"/>
      <c r="W3" s="7"/>
      <c r="X3" s="16"/>
      <c r="Y3" s="16"/>
      <c r="Z3" s="16"/>
      <c r="AA3" s="42"/>
      <c r="AB3" s="42"/>
      <c r="AC3" s="42"/>
      <c r="AD3" s="7"/>
      <c r="AE3" s="16"/>
      <c r="AF3" s="93"/>
    </row>
    <row r="4" spans="1:32" s="113" customFormat="1" ht="12.75" customHeight="1">
      <c r="A4" s="100" t="s">
        <v>0</v>
      </c>
      <c r="B4" s="111"/>
      <c r="C4" s="111"/>
      <c r="D4" s="111"/>
      <c r="E4" s="110"/>
      <c r="F4" s="110"/>
      <c r="G4" s="110"/>
      <c r="H4" s="110"/>
      <c r="I4" s="109"/>
      <c r="J4" s="111"/>
      <c r="K4" s="111"/>
      <c r="L4" s="109"/>
      <c r="M4" s="109"/>
      <c r="N4" s="109"/>
      <c r="O4" s="110"/>
      <c r="P4" s="110"/>
      <c r="Q4" s="112"/>
      <c r="R4" s="111"/>
      <c r="S4" s="125"/>
      <c r="T4" s="104"/>
      <c r="U4" s="104"/>
      <c r="V4" s="110"/>
      <c r="W4" s="110"/>
      <c r="X4" s="111"/>
      <c r="Y4" s="111"/>
      <c r="Z4" s="211"/>
      <c r="AA4" s="150"/>
      <c r="AB4" s="150"/>
      <c r="AC4" s="150"/>
      <c r="AD4" s="110"/>
      <c r="AE4" s="211"/>
      <c r="AF4" s="213"/>
    </row>
    <row r="5" spans="1:32" s="113" customFormat="1" ht="12.75" customHeight="1">
      <c r="A5" s="105"/>
      <c r="B5" s="111"/>
      <c r="C5" s="111"/>
      <c r="D5" s="111"/>
      <c r="E5" s="110"/>
      <c r="F5" s="110"/>
      <c r="G5" s="110"/>
      <c r="H5" s="110"/>
      <c r="I5" s="109"/>
      <c r="J5" s="111"/>
      <c r="K5" s="111"/>
      <c r="L5" s="109"/>
      <c r="M5" s="109"/>
      <c r="N5" s="109"/>
      <c r="O5" s="110"/>
      <c r="P5" s="110"/>
      <c r="Q5" s="111"/>
      <c r="R5" s="111"/>
      <c r="S5" s="109"/>
      <c r="T5" s="69"/>
      <c r="U5" s="69"/>
      <c r="V5" s="109"/>
      <c r="W5" s="110"/>
      <c r="X5" s="111"/>
      <c r="Y5" s="111"/>
      <c r="Z5" s="211"/>
      <c r="AA5" s="150"/>
      <c r="AB5" s="150"/>
      <c r="AC5" s="150"/>
      <c r="AD5" s="110"/>
      <c r="AE5" s="211"/>
      <c r="AF5" s="213"/>
    </row>
    <row r="6" spans="1:32" s="113" customFormat="1" ht="15" customHeight="1">
      <c r="A6" s="36" t="s">
        <v>1</v>
      </c>
      <c r="B6" s="234">
        <v>0</v>
      </c>
      <c r="C6" s="234"/>
      <c r="D6" s="234"/>
      <c r="E6" s="206">
        <v>144692</v>
      </c>
      <c r="F6" s="206">
        <v>139470</v>
      </c>
      <c r="G6" s="206">
        <v>91033</v>
      </c>
      <c r="H6" s="206">
        <v>129552</v>
      </c>
      <c r="I6" s="43">
        <v>171237</v>
      </c>
      <c r="J6" s="234">
        <v>0</v>
      </c>
      <c r="K6" s="234"/>
      <c r="L6" s="43">
        <v>184862</v>
      </c>
      <c r="M6" s="66">
        <v>205505</v>
      </c>
      <c r="N6" s="66">
        <v>160002</v>
      </c>
      <c r="O6" s="206">
        <v>166112</v>
      </c>
      <c r="P6" s="206">
        <v>139450</v>
      </c>
      <c r="Q6" s="234">
        <v>0</v>
      </c>
      <c r="R6" s="234"/>
      <c r="S6" s="66">
        <v>157517</v>
      </c>
      <c r="T6" s="66">
        <v>129693</v>
      </c>
      <c r="U6" s="66">
        <v>114262</v>
      </c>
      <c r="V6" s="66">
        <v>156964</v>
      </c>
      <c r="W6" s="66">
        <v>218789</v>
      </c>
      <c r="X6" s="237">
        <v>0</v>
      </c>
      <c r="Y6" s="237"/>
      <c r="Z6" s="237"/>
      <c r="AA6" s="136">
        <v>152561</v>
      </c>
      <c r="AB6" s="136">
        <v>111249</v>
      </c>
      <c r="AC6" s="136">
        <v>117823</v>
      </c>
      <c r="AD6" s="66">
        <v>128143</v>
      </c>
      <c r="AE6" s="259">
        <v>0</v>
      </c>
      <c r="AF6" s="260"/>
    </row>
    <row r="7" spans="1:32" s="113" customFormat="1" ht="12.75" customHeight="1">
      <c r="A7" s="87"/>
      <c r="B7" s="111"/>
      <c r="C7" s="111"/>
      <c r="D7" s="111"/>
      <c r="E7" s="110"/>
      <c r="F7" s="110"/>
      <c r="G7" s="110"/>
      <c r="H7" s="110"/>
      <c r="I7" s="109"/>
      <c r="J7" s="111"/>
      <c r="K7" s="111"/>
      <c r="L7" s="109"/>
      <c r="M7" s="109"/>
      <c r="N7" s="109"/>
      <c r="O7" s="110"/>
      <c r="P7" s="110"/>
      <c r="Q7" s="111"/>
      <c r="R7" s="111"/>
      <c r="S7" s="109"/>
      <c r="T7" s="109"/>
      <c r="U7" s="109"/>
      <c r="V7" s="109"/>
      <c r="W7" s="109"/>
      <c r="X7" s="111"/>
      <c r="Y7" s="111"/>
      <c r="Z7" s="211"/>
      <c r="AA7" s="150"/>
      <c r="AB7" s="150"/>
      <c r="AC7" s="150"/>
      <c r="AD7" s="109"/>
      <c r="AE7" s="211"/>
      <c r="AF7" s="213"/>
    </row>
    <row r="8" spans="1:32" s="113" customFormat="1" ht="15" customHeight="1">
      <c r="A8" s="87" t="s">
        <v>2</v>
      </c>
      <c r="B8" s="234">
        <v>129342</v>
      </c>
      <c r="C8" s="234"/>
      <c r="D8" s="234"/>
      <c r="E8" s="206">
        <v>32277</v>
      </c>
      <c r="F8" s="206">
        <v>36546</v>
      </c>
      <c r="G8" s="206">
        <v>26852</v>
      </c>
      <c r="H8" s="206">
        <v>8065</v>
      </c>
      <c r="I8" s="43">
        <v>11291</v>
      </c>
      <c r="J8" s="234">
        <v>59056</v>
      </c>
      <c r="K8" s="234"/>
      <c r="L8" s="43">
        <v>31408</v>
      </c>
      <c r="M8" s="206">
        <v>47079</v>
      </c>
      <c r="N8" s="206">
        <v>83682</v>
      </c>
      <c r="O8" s="206">
        <v>63903</v>
      </c>
      <c r="P8" s="206">
        <v>69038</v>
      </c>
      <c r="Q8" s="234">
        <v>118038</v>
      </c>
      <c r="R8" s="234"/>
      <c r="S8" s="66">
        <v>17364</v>
      </c>
      <c r="T8" s="66">
        <v>24110</v>
      </c>
      <c r="U8" s="66">
        <v>23237</v>
      </c>
      <c r="V8" s="66">
        <v>9056</v>
      </c>
      <c r="W8" s="66">
        <v>18888</v>
      </c>
      <c r="X8" s="237">
        <v>116922</v>
      </c>
      <c r="Y8" s="237"/>
      <c r="Z8" s="237"/>
      <c r="AA8" s="136">
        <v>32729</v>
      </c>
      <c r="AB8" s="136">
        <v>49871</v>
      </c>
      <c r="AC8" s="136">
        <v>27695</v>
      </c>
      <c r="AD8" s="66">
        <v>20174</v>
      </c>
      <c r="AE8" s="259">
        <v>41092</v>
      </c>
      <c r="AF8" s="260"/>
    </row>
    <row r="9" spans="1:32" s="37" customFormat="1" ht="15">
      <c r="A9" s="87"/>
      <c r="B9" s="44"/>
      <c r="C9" s="44"/>
      <c r="D9" s="44"/>
      <c r="E9" s="19"/>
      <c r="F9" s="19"/>
      <c r="G9" s="19"/>
      <c r="H9" s="19"/>
      <c r="I9" s="26"/>
      <c r="J9" s="44"/>
      <c r="K9" s="44"/>
      <c r="L9" s="26"/>
      <c r="M9" s="26"/>
      <c r="N9" s="26"/>
      <c r="O9" s="19"/>
      <c r="P9" s="19"/>
      <c r="Q9" s="44"/>
      <c r="R9" s="44"/>
      <c r="S9" s="26"/>
      <c r="T9" s="69"/>
      <c r="U9" s="69"/>
      <c r="V9" s="26"/>
      <c r="W9" s="19"/>
      <c r="X9" s="44"/>
      <c r="Y9" s="44"/>
      <c r="Z9" s="212"/>
      <c r="AA9" s="151"/>
      <c r="AB9" s="151"/>
      <c r="AC9" s="151"/>
      <c r="AD9" s="19"/>
      <c r="AE9" s="212"/>
      <c r="AF9" s="214"/>
    </row>
    <row r="10" spans="1:32" s="37" customFormat="1">
      <c r="A10" s="36" t="s">
        <v>3</v>
      </c>
      <c r="B10" s="244">
        <f>+B6+B8</f>
        <v>129342</v>
      </c>
      <c r="C10" s="244"/>
      <c r="D10" s="244"/>
      <c r="E10" s="207">
        <f>+E6+E8</f>
        <v>176969</v>
      </c>
      <c r="F10" s="207">
        <f t="shared" ref="F10:X10" si="5">+F6+F8</f>
        <v>176016</v>
      </c>
      <c r="G10" s="207">
        <f t="shared" si="5"/>
        <v>117885</v>
      </c>
      <c r="H10" s="207">
        <f t="shared" si="5"/>
        <v>137617</v>
      </c>
      <c r="I10" s="45">
        <f t="shared" si="5"/>
        <v>182528</v>
      </c>
      <c r="J10" s="244">
        <f>+J6+J8</f>
        <v>59056</v>
      </c>
      <c r="K10" s="244"/>
      <c r="L10" s="45">
        <f>+L8+L6</f>
        <v>216270</v>
      </c>
      <c r="M10" s="207">
        <f t="shared" si="5"/>
        <v>252584</v>
      </c>
      <c r="N10" s="207">
        <f t="shared" si="5"/>
        <v>243684</v>
      </c>
      <c r="O10" s="207">
        <f t="shared" si="5"/>
        <v>230015</v>
      </c>
      <c r="P10" s="207">
        <f>+P6+P8</f>
        <v>208488</v>
      </c>
      <c r="Q10" s="244">
        <f>+Q6+Q8</f>
        <v>118038</v>
      </c>
      <c r="R10" s="244"/>
      <c r="S10" s="45">
        <f>+S6+S8</f>
        <v>174881</v>
      </c>
      <c r="T10" s="207">
        <f t="shared" si="5"/>
        <v>153803</v>
      </c>
      <c r="U10" s="207">
        <f t="shared" si="5"/>
        <v>137499</v>
      </c>
      <c r="V10" s="207">
        <f>+V6+V8</f>
        <v>166020</v>
      </c>
      <c r="W10" s="207">
        <f t="shared" si="5"/>
        <v>237677</v>
      </c>
      <c r="X10" s="244">
        <f t="shared" si="5"/>
        <v>116922</v>
      </c>
      <c r="Y10" s="244"/>
      <c r="Z10" s="244"/>
      <c r="AA10" s="152">
        <f>+AA6+AA8</f>
        <v>185290</v>
      </c>
      <c r="AB10" s="152">
        <f>+AB6+AB8</f>
        <v>161120</v>
      </c>
      <c r="AC10" s="152">
        <f>+AC6+AC8</f>
        <v>145518</v>
      </c>
      <c r="AD10" s="207">
        <f t="shared" ref="AD10:AE10" si="6">+AD6+AD8</f>
        <v>148317</v>
      </c>
      <c r="AE10" s="251">
        <f t="shared" si="6"/>
        <v>41092</v>
      </c>
      <c r="AF10" s="252"/>
    </row>
    <row r="11" spans="1:32" s="37" customFormat="1" ht="13.5" thickBot="1">
      <c r="A11" s="107"/>
      <c r="B11" s="75"/>
      <c r="C11" s="75"/>
      <c r="D11" s="75"/>
      <c r="E11" s="74"/>
      <c r="F11" s="74"/>
      <c r="G11" s="74"/>
      <c r="H11" s="74"/>
      <c r="I11" s="79"/>
      <c r="J11" s="75"/>
      <c r="K11" s="75"/>
      <c r="L11" s="79"/>
      <c r="M11" s="79"/>
      <c r="N11" s="79"/>
      <c r="O11" s="74"/>
      <c r="P11" s="74"/>
      <c r="Q11" s="75"/>
      <c r="R11" s="75"/>
      <c r="S11" s="79"/>
      <c r="T11" s="76"/>
      <c r="U11" s="76"/>
      <c r="V11" s="74"/>
      <c r="W11" s="74"/>
      <c r="X11" s="75"/>
      <c r="Y11" s="75"/>
      <c r="Z11" s="75"/>
      <c r="AA11" s="79"/>
      <c r="AB11" s="79"/>
      <c r="AC11" s="79"/>
      <c r="AD11" s="74"/>
      <c r="AE11" s="75"/>
      <c r="AF11" s="215"/>
    </row>
    <row r="13" spans="1:32">
      <c r="E13" s="34"/>
      <c r="F13" s="34"/>
      <c r="G13" s="34"/>
      <c r="H13" s="34"/>
      <c r="X13" s="23"/>
    </row>
    <row r="14" spans="1:32">
      <c r="R14" s="23"/>
      <c r="AD14" s="210"/>
    </row>
    <row r="15" spans="1:32" s="133" customFormat="1" ht="10.5">
      <c r="B15" s="134"/>
      <c r="E15" s="134"/>
      <c r="G15" s="134"/>
      <c r="M15" s="134"/>
      <c r="N15" s="134"/>
      <c r="O15" s="134"/>
      <c r="P15" s="134"/>
      <c r="Q15" s="134"/>
    </row>
    <row r="16" spans="1:32">
      <c r="F16" s="34"/>
    </row>
    <row r="20" spans="10:10">
      <c r="J20" s="22"/>
    </row>
  </sheetData>
  <mergeCells count="15">
    <mergeCell ref="J10:K10"/>
    <mergeCell ref="Q10:R10"/>
    <mergeCell ref="B6:D6"/>
    <mergeCell ref="B8:D8"/>
    <mergeCell ref="B10:D10"/>
    <mergeCell ref="J6:K6"/>
    <mergeCell ref="Q6:R6"/>
    <mergeCell ref="J8:K8"/>
    <mergeCell ref="Q8:R8"/>
    <mergeCell ref="AE6:AF6"/>
    <mergeCell ref="AE8:AF8"/>
    <mergeCell ref="AE10:AF10"/>
    <mergeCell ref="X6:Z6"/>
    <mergeCell ref="X10:Z10"/>
    <mergeCell ref="X8:Z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E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E6" sqref="B6:AE6"/>
    </sheetView>
  </sheetViews>
  <sheetFormatPr baseColWidth="10" defaultRowHeight="12.75"/>
  <cols>
    <col min="2" max="13" width="9" customWidth="1"/>
    <col min="14" max="14" width="6.140625" bestFit="1" customWidth="1"/>
    <col min="15" max="15" width="6.7109375" bestFit="1" customWidth="1"/>
    <col min="16" max="16" width="5.28515625" bestFit="1" customWidth="1"/>
    <col min="17" max="31" width="9" customWidth="1"/>
  </cols>
  <sheetData>
    <row r="1" spans="1:31">
      <c r="A1" s="2"/>
      <c r="B1" s="24">
        <v>46174</v>
      </c>
      <c r="C1" s="24">
        <f t="shared" ref="C1:R2" si="0">+B1+1</f>
        <v>46175</v>
      </c>
      <c r="D1" s="24">
        <f t="shared" si="0"/>
        <v>46176</v>
      </c>
      <c r="E1" s="24">
        <f t="shared" si="0"/>
        <v>46177</v>
      </c>
      <c r="F1" s="24">
        <f t="shared" si="0"/>
        <v>46178</v>
      </c>
      <c r="G1" s="24">
        <f t="shared" si="0"/>
        <v>46179</v>
      </c>
      <c r="H1" s="24">
        <f t="shared" si="0"/>
        <v>46180</v>
      </c>
      <c r="I1" s="24">
        <f t="shared" si="0"/>
        <v>46181</v>
      </c>
      <c r="J1" s="24">
        <f t="shared" si="0"/>
        <v>46182</v>
      </c>
      <c r="K1" s="24">
        <f t="shared" si="0"/>
        <v>46183</v>
      </c>
      <c r="L1" s="24">
        <f t="shared" si="0"/>
        <v>46184</v>
      </c>
      <c r="M1" s="24">
        <f t="shared" si="0"/>
        <v>46185</v>
      </c>
      <c r="N1" s="24">
        <f t="shared" si="0"/>
        <v>46186</v>
      </c>
      <c r="O1" s="24">
        <f t="shared" si="0"/>
        <v>46187</v>
      </c>
      <c r="P1" s="24">
        <f t="shared" si="0"/>
        <v>46188</v>
      </c>
      <c r="Q1" s="24">
        <f t="shared" si="0"/>
        <v>46189</v>
      </c>
      <c r="R1" s="24">
        <f t="shared" si="0"/>
        <v>46190</v>
      </c>
      <c r="S1" s="24">
        <f t="shared" ref="Q1:AE2" si="1">+R1+1</f>
        <v>46191</v>
      </c>
      <c r="T1" s="24">
        <f t="shared" si="1"/>
        <v>46192</v>
      </c>
      <c r="U1" s="24">
        <f t="shared" si="1"/>
        <v>46193</v>
      </c>
      <c r="V1" s="24">
        <f t="shared" si="1"/>
        <v>46194</v>
      </c>
      <c r="W1" s="24">
        <f t="shared" si="1"/>
        <v>46195</v>
      </c>
      <c r="X1" s="24">
        <f t="shared" si="1"/>
        <v>46196</v>
      </c>
      <c r="Y1" s="24">
        <f t="shared" si="1"/>
        <v>46197</v>
      </c>
      <c r="Z1" s="24">
        <f t="shared" si="1"/>
        <v>46198</v>
      </c>
      <c r="AA1" s="24">
        <f t="shared" si="1"/>
        <v>46199</v>
      </c>
      <c r="AB1" s="24">
        <f t="shared" si="1"/>
        <v>46200</v>
      </c>
      <c r="AC1" s="24">
        <f t="shared" si="1"/>
        <v>46201</v>
      </c>
      <c r="AD1" s="24">
        <f t="shared" si="1"/>
        <v>46202</v>
      </c>
      <c r="AE1" s="38">
        <f t="shared" si="1"/>
        <v>46203</v>
      </c>
    </row>
    <row r="2" spans="1:31">
      <c r="A2" s="4"/>
      <c r="B2" s="5">
        <v>46174</v>
      </c>
      <c r="C2" s="5">
        <f t="shared" si="0"/>
        <v>46175</v>
      </c>
      <c r="D2" s="5">
        <f t="shared" si="0"/>
        <v>46176</v>
      </c>
      <c r="E2" s="5">
        <f t="shared" si="0"/>
        <v>46177</v>
      </c>
      <c r="F2" s="5">
        <f t="shared" si="0"/>
        <v>46178</v>
      </c>
      <c r="G2" s="5">
        <f t="shared" si="0"/>
        <v>46179</v>
      </c>
      <c r="H2" s="5">
        <f t="shared" si="0"/>
        <v>46180</v>
      </c>
      <c r="I2" s="5">
        <f t="shared" si="0"/>
        <v>46181</v>
      </c>
      <c r="J2" s="5">
        <f t="shared" si="0"/>
        <v>46182</v>
      </c>
      <c r="K2" s="5">
        <f t="shared" si="0"/>
        <v>46183</v>
      </c>
      <c r="L2" s="5">
        <f t="shared" si="0"/>
        <v>46184</v>
      </c>
      <c r="M2" s="5">
        <f t="shared" si="0"/>
        <v>46185</v>
      </c>
      <c r="N2" s="5">
        <f t="shared" si="0"/>
        <v>46186</v>
      </c>
      <c r="O2" s="5">
        <f t="shared" si="0"/>
        <v>46187</v>
      </c>
      <c r="P2" s="5">
        <f t="shared" si="0"/>
        <v>46188</v>
      </c>
      <c r="Q2" s="5">
        <f t="shared" si="1"/>
        <v>46189</v>
      </c>
      <c r="R2" s="5">
        <f t="shared" si="1"/>
        <v>46190</v>
      </c>
      <c r="S2" s="5">
        <f t="shared" si="1"/>
        <v>46191</v>
      </c>
      <c r="T2" s="5">
        <f t="shared" si="1"/>
        <v>46192</v>
      </c>
      <c r="U2" s="5">
        <f t="shared" si="1"/>
        <v>46193</v>
      </c>
      <c r="V2" s="5">
        <f t="shared" si="1"/>
        <v>46194</v>
      </c>
      <c r="W2" s="5">
        <f t="shared" si="1"/>
        <v>46195</v>
      </c>
      <c r="X2" s="5">
        <f t="shared" si="1"/>
        <v>46196</v>
      </c>
      <c r="Y2" s="5">
        <f t="shared" si="1"/>
        <v>46197</v>
      </c>
      <c r="Z2" s="5">
        <f t="shared" si="1"/>
        <v>46198</v>
      </c>
      <c r="AA2" s="5">
        <f t="shared" si="1"/>
        <v>46199</v>
      </c>
      <c r="AB2" s="5">
        <f t="shared" si="1"/>
        <v>46200</v>
      </c>
      <c r="AC2" s="5">
        <f t="shared" si="1"/>
        <v>46201</v>
      </c>
      <c r="AD2" s="5">
        <f t="shared" si="1"/>
        <v>46202</v>
      </c>
      <c r="AE2" s="39">
        <f t="shared" si="1"/>
        <v>46203</v>
      </c>
    </row>
    <row r="3" spans="1:31" ht="13.5" thickBot="1">
      <c r="A3" s="6"/>
      <c r="B3" s="115"/>
      <c r="C3" s="42"/>
      <c r="D3" s="42"/>
      <c r="E3" s="42"/>
      <c r="F3" s="7"/>
      <c r="G3" s="16"/>
      <c r="H3" s="16"/>
      <c r="I3" s="7"/>
      <c r="J3" s="7"/>
      <c r="K3" s="7"/>
      <c r="L3" s="7"/>
      <c r="M3" s="7"/>
      <c r="N3" s="16"/>
      <c r="O3" s="120"/>
      <c r="P3" s="16"/>
      <c r="Q3" s="42"/>
      <c r="R3" s="42"/>
      <c r="S3" s="7"/>
      <c r="T3" s="7"/>
      <c r="U3" s="16"/>
      <c r="V3" s="16"/>
      <c r="W3" s="42"/>
      <c r="X3" s="42"/>
      <c r="Y3" s="42"/>
      <c r="Z3" s="7"/>
      <c r="AA3" s="7"/>
      <c r="AB3" s="16"/>
      <c r="AC3" s="16"/>
      <c r="AD3" s="42"/>
      <c r="AE3" s="126"/>
    </row>
    <row r="4" spans="1:31" s="113" customFormat="1" ht="12.75" customHeight="1">
      <c r="A4" s="100" t="s">
        <v>0</v>
      </c>
      <c r="B4" s="116"/>
      <c r="C4" s="102"/>
      <c r="D4" s="109"/>
      <c r="E4" s="109"/>
      <c r="F4" s="110"/>
      <c r="G4" s="111"/>
      <c r="H4" s="111"/>
      <c r="I4" s="110"/>
      <c r="J4" s="110"/>
      <c r="K4" s="110"/>
      <c r="L4" s="110"/>
      <c r="M4" s="110"/>
      <c r="N4" s="103"/>
      <c r="O4" s="121"/>
      <c r="P4" s="111"/>
      <c r="Q4" s="109"/>
      <c r="R4" s="109"/>
      <c r="S4" s="110"/>
      <c r="T4" s="110"/>
      <c r="U4" s="112"/>
      <c r="V4" s="111"/>
      <c r="W4" s="125"/>
      <c r="X4" s="104"/>
      <c r="Y4" s="109"/>
      <c r="Z4" s="110"/>
      <c r="AA4" s="110"/>
      <c r="AB4" s="111"/>
      <c r="AC4" s="111"/>
      <c r="AD4" s="150"/>
      <c r="AE4" s="128"/>
    </row>
    <row r="5" spans="1:31" s="113" customFormat="1" ht="12.75" customHeight="1">
      <c r="A5" s="105"/>
      <c r="B5" s="117"/>
      <c r="C5" s="109"/>
      <c r="D5" s="109"/>
      <c r="E5" s="109"/>
      <c r="F5" s="110"/>
      <c r="G5" s="111"/>
      <c r="H5" s="111"/>
      <c r="I5" s="110"/>
      <c r="J5" s="110"/>
      <c r="K5" s="110"/>
      <c r="L5" s="110"/>
      <c r="M5" s="110"/>
      <c r="N5" s="46"/>
      <c r="O5" s="85"/>
      <c r="P5" s="111"/>
      <c r="Q5" s="109"/>
      <c r="R5" s="109"/>
      <c r="S5" s="110"/>
      <c r="T5" s="110"/>
      <c r="U5" s="111"/>
      <c r="V5" s="111"/>
      <c r="W5" s="109"/>
      <c r="X5" s="69"/>
      <c r="Y5" s="109"/>
      <c r="Z5" s="110"/>
      <c r="AA5" s="110"/>
      <c r="AB5" s="111"/>
      <c r="AC5" s="111"/>
      <c r="AD5" s="150"/>
      <c r="AE5" s="128"/>
    </row>
    <row r="6" spans="1:31" s="113" customFormat="1" ht="15" customHeight="1">
      <c r="A6" s="36" t="s">
        <v>1</v>
      </c>
      <c r="B6" s="43">
        <v>142250</v>
      </c>
      <c r="C6" s="109">
        <v>123154</v>
      </c>
      <c r="D6" s="43">
        <v>92566</v>
      </c>
      <c r="E6" s="208">
        <v>111403</v>
      </c>
      <c r="F6" s="208">
        <v>15303</v>
      </c>
      <c r="G6" s="234">
        <v>0</v>
      </c>
      <c r="H6" s="234"/>
      <c r="I6" s="208">
        <v>214491</v>
      </c>
      <c r="J6" s="208">
        <v>148726</v>
      </c>
      <c r="K6" s="208">
        <v>124190</v>
      </c>
      <c r="L6" s="208">
        <v>128139</v>
      </c>
      <c r="M6" s="208">
        <v>130879</v>
      </c>
      <c r="N6" s="237">
        <v>0</v>
      </c>
      <c r="O6" s="237"/>
      <c r="P6" s="237"/>
      <c r="Q6" s="66">
        <v>110329</v>
      </c>
      <c r="R6" s="66">
        <v>116800</v>
      </c>
      <c r="S6" s="208">
        <v>159160</v>
      </c>
      <c r="T6" s="208">
        <v>162703</v>
      </c>
      <c r="U6" s="234">
        <v>0</v>
      </c>
      <c r="V6" s="234"/>
      <c r="W6" s="66">
        <v>205067</v>
      </c>
      <c r="X6" s="219">
        <v>156827</v>
      </c>
      <c r="Y6" s="219">
        <v>124274</v>
      </c>
      <c r="Z6" s="66">
        <v>136557</v>
      </c>
      <c r="AA6" s="208">
        <v>193172</v>
      </c>
      <c r="AB6" s="237">
        <v>0</v>
      </c>
      <c r="AC6" s="237"/>
      <c r="AD6" s="136">
        <v>273618</v>
      </c>
      <c r="AE6" s="135">
        <v>232193</v>
      </c>
    </row>
    <row r="7" spans="1:31" s="113" customFormat="1" ht="12.75" customHeight="1">
      <c r="A7" s="87"/>
      <c r="B7" s="117"/>
      <c r="C7" s="109"/>
      <c r="D7" s="109"/>
      <c r="E7" s="109"/>
      <c r="F7" s="110"/>
      <c r="G7" s="111"/>
      <c r="H7" s="111"/>
      <c r="I7" s="110"/>
      <c r="J7" s="110"/>
      <c r="K7" s="110"/>
      <c r="L7" s="110"/>
      <c r="M7" s="110"/>
      <c r="N7" s="46"/>
      <c r="O7" s="85"/>
      <c r="P7" s="111"/>
      <c r="Q7" s="109"/>
      <c r="R7" s="109"/>
      <c r="S7" s="110"/>
      <c r="T7" s="110"/>
      <c r="U7" s="111"/>
      <c r="V7" s="111"/>
      <c r="W7" s="109"/>
      <c r="X7" s="109"/>
      <c r="Y7" s="109"/>
      <c r="Z7" s="109"/>
      <c r="AA7" s="110"/>
      <c r="AB7" s="111"/>
      <c r="AC7" s="111"/>
      <c r="AD7" s="150"/>
      <c r="AE7" s="128"/>
    </row>
    <row r="8" spans="1:31" s="113" customFormat="1" ht="15" customHeight="1">
      <c r="A8" s="87" t="s">
        <v>2</v>
      </c>
      <c r="B8" s="117">
        <v>24896</v>
      </c>
      <c r="C8" s="43">
        <v>37593</v>
      </c>
      <c r="D8" s="43">
        <v>27119</v>
      </c>
      <c r="E8" s="208">
        <v>8270</v>
      </c>
      <c r="F8" s="208">
        <v>37941</v>
      </c>
      <c r="G8" s="234">
        <v>32738</v>
      </c>
      <c r="H8" s="234"/>
      <c r="I8" s="208">
        <v>20591</v>
      </c>
      <c r="J8" s="208">
        <v>89193</v>
      </c>
      <c r="K8" s="208">
        <v>95154</v>
      </c>
      <c r="L8" s="208">
        <v>68522</v>
      </c>
      <c r="M8" s="208">
        <v>64737</v>
      </c>
      <c r="N8" s="237">
        <v>84247</v>
      </c>
      <c r="O8" s="237"/>
      <c r="P8" s="237"/>
      <c r="Q8" s="208">
        <v>49445</v>
      </c>
      <c r="R8" s="208">
        <v>52449</v>
      </c>
      <c r="S8" s="208">
        <v>27195</v>
      </c>
      <c r="T8" s="208">
        <v>47356</v>
      </c>
      <c r="U8" s="234">
        <v>27195</v>
      </c>
      <c r="V8" s="234"/>
      <c r="W8" s="66">
        <v>110454</v>
      </c>
      <c r="X8" s="219">
        <v>202477</v>
      </c>
      <c r="Y8" s="219">
        <v>190503</v>
      </c>
      <c r="Z8" s="208">
        <v>136194</v>
      </c>
      <c r="AA8" s="208">
        <v>119760</v>
      </c>
      <c r="AB8" s="258">
        <v>160833</v>
      </c>
      <c r="AC8" s="258"/>
      <c r="AD8" s="136">
        <v>68187</v>
      </c>
      <c r="AE8" s="135">
        <v>170481</v>
      </c>
    </row>
    <row r="9" spans="1:31" s="37" customFormat="1" ht="15">
      <c r="A9" s="87"/>
      <c r="B9" s="117"/>
      <c r="C9" s="26"/>
      <c r="D9" s="26"/>
      <c r="E9" s="26"/>
      <c r="F9" s="19"/>
      <c r="G9" s="44"/>
      <c r="H9" s="44"/>
      <c r="I9" s="19"/>
      <c r="J9" s="19"/>
      <c r="K9" s="19"/>
      <c r="L9" s="19"/>
      <c r="M9" s="19"/>
      <c r="N9" s="46"/>
      <c r="O9" s="85"/>
      <c r="P9" s="44"/>
      <c r="Q9" s="26"/>
      <c r="R9" s="26"/>
      <c r="S9" s="19"/>
      <c r="T9" s="19"/>
      <c r="U9" s="44"/>
      <c r="V9" s="44"/>
      <c r="W9" s="26"/>
      <c r="X9" s="69"/>
      <c r="Y9" s="26"/>
      <c r="Z9" s="19"/>
      <c r="AA9" s="19"/>
      <c r="AB9" s="44"/>
      <c r="AC9" s="44"/>
      <c r="AD9" s="151"/>
      <c r="AE9" s="129"/>
    </row>
    <row r="10" spans="1:31" s="37" customFormat="1">
      <c r="A10" s="36" t="s">
        <v>3</v>
      </c>
      <c r="B10" s="131">
        <f t="shared" ref="B10:AB10" si="2">+B6+B8</f>
        <v>167146</v>
      </c>
      <c r="C10" s="209">
        <f t="shared" si="2"/>
        <v>160747</v>
      </c>
      <c r="D10" s="209">
        <f t="shared" si="2"/>
        <v>119685</v>
      </c>
      <c r="E10" s="209">
        <f t="shared" si="2"/>
        <v>119673</v>
      </c>
      <c r="F10" s="209">
        <f t="shared" si="2"/>
        <v>53244</v>
      </c>
      <c r="G10" s="244">
        <f t="shared" si="2"/>
        <v>32738</v>
      </c>
      <c r="H10" s="244"/>
      <c r="I10" s="209">
        <f>+I6+I8</f>
        <v>235082</v>
      </c>
      <c r="J10" s="209">
        <f t="shared" si="2"/>
        <v>237919</v>
      </c>
      <c r="K10" s="209">
        <f t="shared" si="2"/>
        <v>219344</v>
      </c>
      <c r="L10" s="209">
        <f t="shared" si="2"/>
        <v>196661</v>
      </c>
      <c r="M10" s="209">
        <f t="shared" si="2"/>
        <v>195616</v>
      </c>
      <c r="N10" s="239">
        <f>+N6+N8</f>
        <v>84247</v>
      </c>
      <c r="O10" s="239"/>
      <c r="P10" s="239"/>
      <c r="Q10" s="209">
        <f t="shared" si="2"/>
        <v>159774</v>
      </c>
      <c r="R10" s="209">
        <f t="shared" si="2"/>
        <v>169249</v>
      </c>
      <c r="S10" s="209">
        <f t="shared" si="2"/>
        <v>186355</v>
      </c>
      <c r="T10" s="209">
        <f>+T6+T8</f>
        <v>210059</v>
      </c>
      <c r="U10" s="244">
        <f>+U6+U8</f>
        <v>27195</v>
      </c>
      <c r="V10" s="244"/>
      <c r="W10" s="45">
        <f>+W6+W8</f>
        <v>315521</v>
      </c>
      <c r="X10" s="220">
        <f t="shared" si="2"/>
        <v>359304</v>
      </c>
      <c r="Y10" s="220">
        <f>+Y6+Y8</f>
        <v>314777</v>
      </c>
      <c r="Z10" s="209">
        <f>+Z6+Z8</f>
        <v>272751</v>
      </c>
      <c r="AA10" s="209">
        <f t="shared" si="2"/>
        <v>312932</v>
      </c>
      <c r="AB10" s="244">
        <f t="shared" si="2"/>
        <v>160833</v>
      </c>
      <c r="AC10" s="244"/>
      <c r="AD10" s="152">
        <f>+AD6+AD8</f>
        <v>341805</v>
      </c>
      <c r="AE10" s="132">
        <f>+AE6+AE8</f>
        <v>402674</v>
      </c>
    </row>
    <row r="11" spans="1:31" s="37" customFormat="1" ht="13.5" thickBot="1">
      <c r="A11" s="107"/>
      <c r="B11" s="76"/>
      <c r="C11" s="79"/>
      <c r="D11" s="79"/>
      <c r="E11" s="79"/>
      <c r="F11" s="74"/>
      <c r="G11" s="75"/>
      <c r="H11" s="75"/>
      <c r="I11" s="74"/>
      <c r="J11" s="74"/>
      <c r="K11" s="74"/>
      <c r="L11" s="74"/>
      <c r="M11" s="74"/>
      <c r="N11" s="78"/>
      <c r="O11" s="78"/>
      <c r="P11" s="75"/>
      <c r="Q11" s="79"/>
      <c r="R11" s="79"/>
      <c r="S11" s="74"/>
      <c r="T11" s="74"/>
      <c r="U11" s="75"/>
      <c r="V11" s="75"/>
      <c r="W11" s="79"/>
      <c r="X11" s="76"/>
      <c r="Y11" s="79"/>
      <c r="Z11" s="74"/>
      <c r="AA11" s="74"/>
      <c r="AB11" s="75"/>
      <c r="AC11" s="75"/>
      <c r="AD11" s="79"/>
      <c r="AE11" s="130"/>
    </row>
    <row r="13" spans="1:31">
      <c r="G13" s="218" t="s">
        <v>4</v>
      </c>
      <c r="I13" s="34"/>
      <c r="J13" s="34"/>
      <c r="K13" s="34"/>
      <c r="L13" s="34"/>
      <c r="AB13" s="23"/>
    </row>
    <row r="14" spans="1:31">
      <c r="G14" s="218" t="s">
        <v>5</v>
      </c>
      <c r="V14" s="23"/>
    </row>
    <row r="15" spans="1:31" s="133" customFormat="1" ht="10.5">
      <c r="B15" s="134"/>
      <c r="C15" s="134"/>
      <c r="D15" s="134"/>
      <c r="E15" s="134"/>
      <c r="F15" s="134"/>
      <c r="I15" s="134"/>
      <c r="K15" s="134"/>
      <c r="Q15" s="134"/>
      <c r="R15" s="134"/>
      <c r="S15" s="134"/>
      <c r="T15" s="134"/>
      <c r="U15" s="134"/>
    </row>
    <row r="16" spans="1:31">
      <c r="J16" s="34"/>
    </row>
    <row r="20" spans="14:14">
      <c r="N20" s="22"/>
    </row>
  </sheetData>
  <mergeCells count="12">
    <mergeCell ref="G10:H10"/>
    <mergeCell ref="U10:V10"/>
    <mergeCell ref="AB10:AC10"/>
    <mergeCell ref="N6:P6"/>
    <mergeCell ref="N8:P8"/>
    <mergeCell ref="N10:P10"/>
    <mergeCell ref="G6:H6"/>
    <mergeCell ref="U6:V6"/>
    <mergeCell ref="AB6:AC6"/>
    <mergeCell ref="G8:H8"/>
    <mergeCell ref="U8:V8"/>
    <mergeCell ref="AB8:AC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24" sqref="X24"/>
    </sheetView>
  </sheetViews>
  <sheetFormatPr baseColWidth="10" defaultRowHeight="12.75"/>
  <cols>
    <col min="2" max="2" width="7.5703125" bestFit="1" customWidth="1"/>
    <col min="3" max="3" width="7.5703125" customWidth="1"/>
    <col min="4" max="6" width="7.5703125" bestFit="1" customWidth="1"/>
    <col min="7" max="7" width="7.42578125" bestFit="1" customWidth="1"/>
    <col min="8" max="13" width="7.5703125" bestFit="1" customWidth="1"/>
    <col min="14" max="14" width="6.5703125" bestFit="1" customWidth="1"/>
    <col min="15" max="15" width="7.42578125" bestFit="1" customWidth="1"/>
    <col min="16" max="20" width="7.5703125" bestFit="1" customWidth="1"/>
    <col min="21" max="21" width="6.5703125" bestFit="1" customWidth="1"/>
    <col min="22" max="23" width="7.5703125" bestFit="1" customWidth="1"/>
    <col min="24" max="24" width="7.85546875" customWidth="1"/>
    <col min="25" max="25" width="7.5703125" bestFit="1" customWidth="1"/>
    <col min="26" max="27" width="7.42578125" customWidth="1"/>
    <col min="28" max="28" width="8.140625" customWidth="1"/>
    <col min="29" max="32" width="11.140625" customWidth="1"/>
  </cols>
  <sheetData>
    <row r="1" spans="1:32">
      <c r="A1" s="2"/>
      <c r="B1" s="24">
        <v>45931</v>
      </c>
      <c r="C1" s="24">
        <f t="shared" ref="C1:R2" si="0">+B1+1</f>
        <v>45932</v>
      </c>
      <c r="D1" s="24">
        <f t="shared" si="0"/>
        <v>45933</v>
      </c>
      <c r="E1" s="24">
        <f t="shared" si="0"/>
        <v>45934</v>
      </c>
      <c r="F1" s="24">
        <f t="shared" si="0"/>
        <v>45935</v>
      </c>
      <c r="G1" s="24">
        <f t="shared" si="0"/>
        <v>45936</v>
      </c>
      <c r="H1" s="24">
        <f t="shared" si="0"/>
        <v>45937</v>
      </c>
      <c r="I1" s="24">
        <f t="shared" si="0"/>
        <v>45938</v>
      </c>
      <c r="J1" s="24">
        <f t="shared" si="0"/>
        <v>45939</v>
      </c>
      <c r="K1" s="24">
        <f t="shared" si="0"/>
        <v>45940</v>
      </c>
      <c r="L1" s="24">
        <f t="shared" si="0"/>
        <v>45941</v>
      </c>
      <c r="M1" s="24">
        <f t="shared" si="0"/>
        <v>45942</v>
      </c>
      <c r="N1" s="24">
        <f t="shared" si="0"/>
        <v>45943</v>
      </c>
      <c r="O1" s="24">
        <f t="shared" si="0"/>
        <v>45944</v>
      </c>
      <c r="P1" s="24">
        <f t="shared" si="0"/>
        <v>45945</v>
      </c>
      <c r="Q1" s="24">
        <f t="shared" si="0"/>
        <v>45946</v>
      </c>
      <c r="R1" s="24">
        <f t="shared" si="0"/>
        <v>45947</v>
      </c>
      <c r="S1" s="24">
        <f t="shared" ref="S1:AF2" si="1">+R1+1</f>
        <v>45948</v>
      </c>
      <c r="T1" s="24">
        <f t="shared" si="1"/>
        <v>45949</v>
      </c>
      <c r="U1" s="24">
        <f t="shared" si="1"/>
        <v>45950</v>
      </c>
      <c r="V1" s="24">
        <f t="shared" si="1"/>
        <v>45951</v>
      </c>
      <c r="W1" s="24">
        <f t="shared" si="1"/>
        <v>45952</v>
      </c>
      <c r="X1" s="24">
        <f t="shared" si="1"/>
        <v>45953</v>
      </c>
      <c r="Y1" s="24">
        <f t="shared" si="1"/>
        <v>45954</v>
      </c>
      <c r="Z1" s="24">
        <f t="shared" si="1"/>
        <v>45955</v>
      </c>
      <c r="AA1" s="24">
        <f t="shared" si="1"/>
        <v>45956</v>
      </c>
      <c r="AB1" s="24">
        <f t="shared" si="1"/>
        <v>45957</v>
      </c>
      <c r="AC1" s="24">
        <f t="shared" si="1"/>
        <v>45958</v>
      </c>
      <c r="AD1" s="24">
        <f t="shared" si="1"/>
        <v>45959</v>
      </c>
      <c r="AE1" s="24">
        <f t="shared" si="1"/>
        <v>45960</v>
      </c>
      <c r="AF1" s="24">
        <f t="shared" si="1"/>
        <v>45961</v>
      </c>
    </row>
    <row r="2" spans="1:32">
      <c r="A2" s="4"/>
      <c r="B2" s="5">
        <v>46143</v>
      </c>
      <c r="C2" s="5">
        <f t="shared" si="0"/>
        <v>46144</v>
      </c>
      <c r="D2" s="5">
        <f t="shared" si="0"/>
        <v>46145</v>
      </c>
      <c r="E2" s="5">
        <f t="shared" si="0"/>
        <v>46146</v>
      </c>
      <c r="F2" s="5">
        <f t="shared" si="0"/>
        <v>46147</v>
      </c>
      <c r="G2" s="5">
        <f t="shared" si="0"/>
        <v>46148</v>
      </c>
      <c r="H2" s="5">
        <f t="shared" si="0"/>
        <v>46149</v>
      </c>
      <c r="I2" s="5">
        <f t="shared" si="0"/>
        <v>46150</v>
      </c>
      <c r="J2" s="5">
        <f t="shared" si="0"/>
        <v>46151</v>
      </c>
      <c r="K2" s="5">
        <f t="shared" si="0"/>
        <v>46152</v>
      </c>
      <c r="L2" s="5">
        <f t="shared" si="0"/>
        <v>46153</v>
      </c>
      <c r="M2" s="5">
        <f t="shared" si="0"/>
        <v>46154</v>
      </c>
      <c r="N2" s="5">
        <f t="shared" si="0"/>
        <v>46155</v>
      </c>
      <c r="O2" s="5">
        <f t="shared" si="0"/>
        <v>46156</v>
      </c>
      <c r="P2" s="5">
        <f t="shared" si="0"/>
        <v>46157</v>
      </c>
      <c r="Q2" s="5">
        <f t="shared" si="0"/>
        <v>46158</v>
      </c>
      <c r="R2" s="5">
        <f t="shared" si="0"/>
        <v>46159</v>
      </c>
      <c r="S2" s="5">
        <f t="shared" si="1"/>
        <v>46160</v>
      </c>
      <c r="T2" s="5">
        <f t="shared" si="1"/>
        <v>46161</v>
      </c>
      <c r="U2" s="5">
        <f t="shared" si="1"/>
        <v>46162</v>
      </c>
      <c r="V2" s="5">
        <f t="shared" si="1"/>
        <v>46163</v>
      </c>
      <c r="W2" s="5">
        <f t="shared" si="1"/>
        <v>46164</v>
      </c>
      <c r="X2" s="5">
        <f t="shared" si="1"/>
        <v>46165</v>
      </c>
      <c r="Y2" s="5">
        <f t="shared" si="1"/>
        <v>46166</v>
      </c>
      <c r="Z2" s="5">
        <f t="shared" si="1"/>
        <v>46167</v>
      </c>
      <c r="AA2" s="5">
        <f t="shared" si="1"/>
        <v>46168</v>
      </c>
      <c r="AB2" s="5">
        <f t="shared" si="1"/>
        <v>46169</v>
      </c>
      <c r="AC2" s="5">
        <f t="shared" si="1"/>
        <v>46170</v>
      </c>
      <c r="AD2" s="5">
        <f t="shared" si="1"/>
        <v>46171</v>
      </c>
      <c r="AE2" s="5">
        <f t="shared" si="1"/>
        <v>46172</v>
      </c>
      <c r="AF2" s="5">
        <f t="shared" si="1"/>
        <v>46173</v>
      </c>
    </row>
    <row r="3" spans="1:32" ht="13.5" thickBot="1">
      <c r="A3" s="6"/>
      <c r="B3" s="42"/>
      <c r="C3" s="42"/>
      <c r="D3" s="7"/>
      <c r="E3" s="16"/>
      <c r="F3" s="16"/>
      <c r="G3" s="7"/>
      <c r="H3" s="7"/>
      <c r="I3" s="7"/>
      <c r="J3" s="221"/>
      <c r="K3" s="221"/>
      <c r="L3" s="16"/>
      <c r="M3" s="120"/>
      <c r="N3" s="42"/>
      <c r="O3" s="42"/>
      <c r="P3" s="42"/>
      <c r="Q3" s="7"/>
      <c r="R3" s="7"/>
      <c r="S3" s="16"/>
      <c r="T3" s="16"/>
      <c r="U3" s="42"/>
      <c r="V3" s="7"/>
      <c r="W3" s="7"/>
      <c r="X3" s="7"/>
      <c r="Y3" s="7"/>
      <c r="Z3" s="16"/>
      <c r="AA3" s="16"/>
      <c r="AB3" s="42"/>
      <c r="AC3" s="42"/>
      <c r="AD3" s="42"/>
      <c r="AE3" s="42"/>
      <c r="AF3" s="42"/>
    </row>
    <row r="4" spans="1:32" s="113" customFormat="1" ht="12.75" customHeight="1">
      <c r="A4" s="100" t="s">
        <v>0</v>
      </c>
      <c r="B4" s="109"/>
      <c r="C4" s="109"/>
      <c r="D4" s="110"/>
      <c r="E4" s="111"/>
      <c r="F4" s="111"/>
      <c r="G4" s="110"/>
      <c r="H4" s="110"/>
      <c r="I4" s="110"/>
      <c r="J4" s="222"/>
      <c r="K4" s="222"/>
      <c r="L4" s="103"/>
      <c r="M4" s="121"/>
      <c r="N4" s="109"/>
      <c r="O4" s="109"/>
      <c r="P4" s="109"/>
      <c r="Q4" s="110"/>
      <c r="R4" s="110"/>
      <c r="S4" s="112"/>
      <c r="T4" s="111"/>
      <c r="U4" s="125"/>
      <c r="V4" s="104"/>
      <c r="W4" s="104"/>
      <c r="X4" s="110"/>
      <c r="Y4" s="110"/>
      <c r="Z4" s="111"/>
      <c r="AA4" s="111"/>
      <c r="AB4" s="150"/>
      <c r="AC4" s="150"/>
      <c r="AD4" s="150"/>
      <c r="AE4" s="150"/>
      <c r="AF4" s="150"/>
    </row>
    <row r="5" spans="1:32" s="113" customFormat="1" ht="12.75" customHeight="1">
      <c r="A5" s="105"/>
      <c r="B5" s="109"/>
      <c r="C5" s="109"/>
      <c r="D5" s="110"/>
      <c r="E5" s="111"/>
      <c r="F5" s="111"/>
      <c r="G5" s="110"/>
      <c r="H5" s="110"/>
      <c r="I5" s="110"/>
      <c r="J5" s="222"/>
      <c r="K5" s="222"/>
      <c r="L5" s="46"/>
      <c r="M5" s="85"/>
      <c r="N5" s="109"/>
      <c r="O5" s="109"/>
      <c r="P5" s="109"/>
      <c r="Q5" s="110"/>
      <c r="R5" s="110"/>
      <c r="S5" s="111"/>
      <c r="T5" s="111"/>
      <c r="U5" s="109"/>
      <c r="V5" s="69"/>
      <c r="W5" s="69"/>
      <c r="X5" s="109"/>
      <c r="Y5" s="110"/>
      <c r="Z5" s="111"/>
      <c r="AA5" s="111"/>
      <c r="AB5" s="150"/>
      <c r="AC5" s="150"/>
      <c r="AD5" s="150"/>
      <c r="AE5" s="150"/>
      <c r="AF5" s="150"/>
    </row>
    <row r="6" spans="1:32" s="113" customFormat="1" ht="15" customHeight="1">
      <c r="A6" s="36" t="s">
        <v>1</v>
      </c>
      <c r="B6" s="109">
        <v>126558</v>
      </c>
      <c r="C6" s="216">
        <v>157351</v>
      </c>
      <c r="D6" s="216">
        <v>138033</v>
      </c>
      <c r="E6" s="234">
        <v>0</v>
      </c>
      <c r="F6" s="234"/>
      <c r="G6" s="216">
        <v>253223</v>
      </c>
      <c r="H6" s="216">
        <v>164662</v>
      </c>
      <c r="I6" s="216">
        <v>134739</v>
      </c>
      <c r="J6" s="262">
        <v>243775</v>
      </c>
      <c r="K6" s="262"/>
      <c r="L6" s="234">
        <v>0</v>
      </c>
      <c r="M6" s="234"/>
      <c r="N6" s="66">
        <v>147155</v>
      </c>
      <c r="O6" s="66">
        <v>149360</v>
      </c>
      <c r="P6" s="66">
        <v>123592</v>
      </c>
      <c r="Q6" s="216">
        <v>109416</v>
      </c>
      <c r="R6" s="216">
        <v>112088</v>
      </c>
      <c r="S6" s="234">
        <v>0</v>
      </c>
      <c r="T6" s="234"/>
      <c r="U6" s="66">
        <v>187721</v>
      </c>
      <c r="V6" s="66">
        <v>159499</v>
      </c>
      <c r="W6" s="66">
        <v>121925</v>
      </c>
      <c r="X6" s="66">
        <v>89582</v>
      </c>
      <c r="Y6" s="66">
        <v>122146</v>
      </c>
      <c r="Z6" s="237">
        <v>0</v>
      </c>
      <c r="AA6" s="237"/>
      <c r="AB6" s="136">
        <v>190927</v>
      </c>
      <c r="AC6" s="136">
        <v>146926</v>
      </c>
      <c r="AD6" s="136">
        <v>78340</v>
      </c>
      <c r="AE6" s="136">
        <v>88614</v>
      </c>
      <c r="AF6" s="136">
        <v>112554</v>
      </c>
    </row>
    <row r="7" spans="1:32" s="113" customFormat="1" ht="12.75" customHeight="1">
      <c r="A7" s="87"/>
      <c r="B7" s="109"/>
      <c r="C7" s="109"/>
      <c r="D7" s="110"/>
      <c r="E7" s="111"/>
      <c r="F7" s="111"/>
      <c r="G7" s="110"/>
      <c r="H7" s="110"/>
      <c r="I7" s="110"/>
      <c r="J7" s="222"/>
      <c r="K7" s="222"/>
      <c r="L7" s="46"/>
      <c r="M7" s="85"/>
      <c r="N7" s="109"/>
      <c r="O7" s="109"/>
      <c r="P7" s="109"/>
      <c r="Q7" s="110"/>
      <c r="R7" s="110"/>
      <c r="S7" s="111"/>
      <c r="T7" s="111"/>
      <c r="U7" s="109"/>
      <c r="V7" s="109"/>
      <c r="W7" s="109"/>
      <c r="X7" s="109"/>
      <c r="Y7" s="109"/>
      <c r="Z7" s="111"/>
      <c r="AA7" s="111"/>
      <c r="AB7" s="150"/>
      <c r="AC7" s="150"/>
      <c r="AD7" s="150"/>
      <c r="AE7" s="150"/>
      <c r="AF7" s="150"/>
    </row>
    <row r="8" spans="1:32" s="113" customFormat="1" ht="15" customHeight="1">
      <c r="A8" s="87" t="s">
        <v>2</v>
      </c>
      <c r="B8" s="43">
        <v>190183</v>
      </c>
      <c r="C8" s="216">
        <v>140200</v>
      </c>
      <c r="D8" s="216">
        <v>135153</v>
      </c>
      <c r="E8" s="234">
        <v>171071</v>
      </c>
      <c r="F8" s="234"/>
      <c r="G8" s="216">
        <v>73300</v>
      </c>
      <c r="H8" s="216">
        <v>183889</v>
      </c>
      <c r="I8" s="216">
        <v>241272</v>
      </c>
      <c r="J8" s="262">
        <v>242929</v>
      </c>
      <c r="K8" s="262"/>
      <c r="L8" s="234">
        <v>211842</v>
      </c>
      <c r="M8" s="234"/>
      <c r="N8" s="216">
        <v>118773</v>
      </c>
      <c r="O8" s="216">
        <v>129265</v>
      </c>
      <c r="P8" s="216">
        <v>131076</v>
      </c>
      <c r="Q8" s="216">
        <v>161140</v>
      </c>
      <c r="R8" s="216">
        <v>149949</v>
      </c>
      <c r="S8" s="234">
        <v>156629</v>
      </c>
      <c r="T8" s="234"/>
      <c r="U8" s="66">
        <v>86759</v>
      </c>
      <c r="V8" s="66">
        <v>149583</v>
      </c>
      <c r="W8" s="66">
        <v>175940</v>
      </c>
      <c r="X8" s="66">
        <v>162525</v>
      </c>
      <c r="Y8" s="66">
        <v>118577</v>
      </c>
      <c r="Z8" s="237">
        <v>123840</v>
      </c>
      <c r="AA8" s="237"/>
      <c r="AB8" s="136">
        <v>34657</v>
      </c>
      <c r="AC8" s="136">
        <v>84101</v>
      </c>
      <c r="AD8" s="136">
        <v>97625</v>
      </c>
      <c r="AE8" s="136">
        <v>28126</v>
      </c>
      <c r="AF8" s="136">
        <v>10668</v>
      </c>
    </row>
    <row r="9" spans="1:32" s="37" customFormat="1" ht="15">
      <c r="A9" s="87"/>
      <c r="B9" s="26"/>
      <c r="C9" s="26"/>
      <c r="D9" s="19"/>
      <c r="E9" s="44"/>
      <c r="F9" s="44"/>
      <c r="G9" s="19"/>
      <c r="H9" s="19"/>
      <c r="I9" s="19"/>
      <c r="J9" s="223"/>
      <c r="K9" s="223"/>
      <c r="L9" s="46"/>
      <c r="M9" s="85"/>
      <c r="N9" s="26"/>
      <c r="O9" s="26"/>
      <c r="P9" s="26"/>
      <c r="Q9" s="19"/>
      <c r="R9" s="19"/>
      <c r="S9" s="44"/>
      <c r="T9" s="44"/>
      <c r="U9" s="26"/>
      <c r="V9" s="69"/>
      <c r="W9" s="69"/>
      <c r="X9" s="26"/>
      <c r="Y9" s="19"/>
      <c r="Z9" s="44"/>
      <c r="AA9" s="44"/>
      <c r="AB9" s="151"/>
      <c r="AC9" s="151"/>
      <c r="AD9" s="151"/>
      <c r="AE9" s="151"/>
      <c r="AF9" s="151"/>
    </row>
    <row r="10" spans="1:32" s="37" customFormat="1">
      <c r="A10" s="36" t="s">
        <v>3</v>
      </c>
      <c r="B10" s="217">
        <f t="shared" ref="B10:Z10" si="2">+B6+B8</f>
        <v>316741</v>
      </c>
      <c r="C10" s="217">
        <f t="shared" si="2"/>
        <v>297551</v>
      </c>
      <c r="D10" s="217">
        <f t="shared" si="2"/>
        <v>273186</v>
      </c>
      <c r="E10" s="244">
        <f t="shared" si="2"/>
        <v>171071</v>
      </c>
      <c r="F10" s="244"/>
      <c r="G10" s="217">
        <f>+G6+G8</f>
        <v>326523</v>
      </c>
      <c r="H10" s="217">
        <f t="shared" si="2"/>
        <v>348551</v>
      </c>
      <c r="I10" s="217">
        <f t="shared" si="2"/>
        <v>376011</v>
      </c>
      <c r="J10" s="261">
        <f t="shared" si="2"/>
        <v>486704</v>
      </c>
      <c r="K10" s="261"/>
      <c r="L10" s="244">
        <f>+L6+L8</f>
        <v>211842</v>
      </c>
      <c r="M10" s="244"/>
      <c r="N10" s="217">
        <f t="shared" si="2"/>
        <v>265928</v>
      </c>
      <c r="O10" s="217">
        <f t="shared" si="2"/>
        <v>278625</v>
      </c>
      <c r="P10" s="217">
        <f t="shared" si="2"/>
        <v>254668</v>
      </c>
      <c r="Q10" s="217">
        <f t="shared" si="2"/>
        <v>270556</v>
      </c>
      <c r="R10" s="217">
        <f>+R6+R8</f>
        <v>262037</v>
      </c>
      <c r="S10" s="244">
        <f>+S6+S8</f>
        <v>156629</v>
      </c>
      <c r="T10" s="244"/>
      <c r="U10" s="45">
        <f>+U6+U8</f>
        <v>274480</v>
      </c>
      <c r="V10" s="217">
        <f t="shared" si="2"/>
        <v>309082</v>
      </c>
      <c r="W10" s="217">
        <f t="shared" si="2"/>
        <v>297865</v>
      </c>
      <c r="X10" s="217">
        <f>+X6+X8</f>
        <v>252107</v>
      </c>
      <c r="Y10" s="217">
        <f t="shared" si="2"/>
        <v>240723</v>
      </c>
      <c r="Z10" s="244">
        <f t="shared" si="2"/>
        <v>123840</v>
      </c>
      <c r="AA10" s="244"/>
      <c r="AB10" s="152">
        <f>+AB6+AB8</f>
        <v>225584</v>
      </c>
      <c r="AC10" s="152">
        <f>+AC6+AC8</f>
        <v>231027</v>
      </c>
      <c r="AD10" s="152">
        <f>+AD6+AD8</f>
        <v>175965</v>
      </c>
      <c r="AE10" s="152">
        <f>+AE6+AE8</f>
        <v>116740</v>
      </c>
      <c r="AF10" s="152">
        <f>+AF6+AF8</f>
        <v>123222</v>
      </c>
    </row>
    <row r="11" spans="1:32" s="37" customFormat="1" ht="13.5" thickBot="1">
      <c r="A11" s="107"/>
      <c r="B11" s="79"/>
      <c r="C11" s="79"/>
      <c r="D11" s="74"/>
      <c r="E11" s="75"/>
      <c r="F11" s="75"/>
      <c r="G11" s="74"/>
      <c r="H11" s="74"/>
      <c r="I11" s="74"/>
      <c r="J11" s="224"/>
      <c r="K11" s="224"/>
      <c r="L11" s="78"/>
      <c r="M11" s="78"/>
      <c r="N11" s="79"/>
      <c r="O11" s="79"/>
      <c r="P11" s="79"/>
      <c r="Q11" s="74"/>
      <c r="R11" s="74"/>
      <c r="S11" s="75"/>
      <c r="T11" s="75"/>
      <c r="U11" s="79"/>
      <c r="V11" s="76"/>
      <c r="W11" s="76"/>
      <c r="X11" s="74"/>
      <c r="Y11" s="74"/>
      <c r="Z11" s="75"/>
      <c r="AA11" s="75"/>
      <c r="AB11" s="79"/>
      <c r="AC11" s="79"/>
      <c r="AD11" s="79"/>
      <c r="AE11" s="79"/>
      <c r="AF11" s="79"/>
    </row>
    <row r="13" spans="1:32">
      <c r="G13" s="34"/>
      <c r="H13" s="34"/>
      <c r="I13" s="34"/>
      <c r="J13" s="34"/>
      <c r="Z13" s="23"/>
    </row>
    <row r="14" spans="1:32">
      <c r="T14" s="23"/>
    </row>
    <row r="15" spans="1:32" s="133" customFormat="1" ht="10.5">
      <c r="B15" s="134"/>
      <c r="C15" s="134"/>
      <c r="D15" s="134"/>
      <c r="G15" s="134"/>
      <c r="I15" s="134"/>
      <c r="O15" s="134"/>
      <c r="P15" s="134"/>
      <c r="Q15" s="134"/>
      <c r="R15" s="134"/>
      <c r="S15" s="134"/>
    </row>
    <row r="16" spans="1:32">
      <c r="H16" s="34"/>
    </row>
    <row r="20" spans="12:12">
      <c r="L20" s="22"/>
    </row>
  </sheetData>
  <mergeCells count="15">
    <mergeCell ref="E10:F10"/>
    <mergeCell ref="S10:T10"/>
    <mergeCell ref="Z10:AA10"/>
    <mergeCell ref="L6:M6"/>
    <mergeCell ref="L8:M8"/>
    <mergeCell ref="L10:M10"/>
    <mergeCell ref="J10:K10"/>
    <mergeCell ref="J8:K8"/>
    <mergeCell ref="J6:K6"/>
    <mergeCell ref="E6:F6"/>
    <mergeCell ref="S6:T6"/>
    <mergeCell ref="Z6:AA6"/>
    <mergeCell ref="E8:F8"/>
    <mergeCell ref="S8:T8"/>
    <mergeCell ref="Z8:AA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F2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24" sqref="O24"/>
    </sheetView>
  </sheetViews>
  <sheetFormatPr baseColWidth="10" defaultRowHeight="12.75"/>
  <cols>
    <col min="2" max="2" width="7.42578125" bestFit="1" customWidth="1"/>
    <col min="3" max="3" width="6.7109375" bestFit="1" customWidth="1"/>
    <col min="4" max="5" width="7.5703125" bestFit="1" customWidth="1"/>
    <col min="6" max="6" width="7.5703125" customWidth="1"/>
    <col min="7" max="9" width="7.5703125" bestFit="1" customWidth="1"/>
    <col min="10" max="10" width="6.5703125" bestFit="1" customWidth="1"/>
    <col min="11" max="16" width="7.5703125" bestFit="1" customWidth="1"/>
    <col min="17" max="17" width="6.5703125" bestFit="1" customWidth="1"/>
    <col min="18" max="18" width="7.42578125" bestFit="1" customWidth="1"/>
    <col min="19" max="22" width="7.5703125" bestFit="1" customWidth="1"/>
    <col min="23" max="23" width="9.7109375" customWidth="1"/>
    <col min="24" max="24" width="6.5703125" bestFit="1" customWidth="1"/>
    <col min="25" max="26" width="7.5703125" bestFit="1" customWidth="1"/>
    <col min="27" max="27" width="7.85546875" customWidth="1"/>
    <col min="28" max="30" width="7.5703125" bestFit="1" customWidth="1"/>
    <col min="31" max="31" width="6.5703125" bestFit="1" customWidth="1"/>
    <col min="32" max="33" width="7.5703125" bestFit="1" customWidth="1"/>
  </cols>
  <sheetData>
    <row r="1" spans="1:32">
      <c r="A1" s="2"/>
      <c r="B1" s="24">
        <v>45444</v>
      </c>
      <c r="C1" s="24">
        <f t="shared" ref="C1:R2" si="0">+B1+1</f>
        <v>45445</v>
      </c>
      <c r="D1" s="24">
        <f t="shared" si="0"/>
        <v>45446</v>
      </c>
      <c r="E1" s="24">
        <f t="shared" si="0"/>
        <v>45447</v>
      </c>
      <c r="F1" s="24">
        <f t="shared" si="0"/>
        <v>45448</v>
      </c>
      <c r="G1" s="24">
        <f t="shared" si="0"/>
        <v>45449</v>
      </c>
      <c r="H1" s="24">
        <f t="shared" si="0"/>
        <v>45450</v>
      </c>
      <c r="I1" s="24">
        <f t="shared" si="0"/>
        <v>45451</v>
      </c>
      <c r="J1" s="24">
        <f t="shared" si="0"/>
        <v>45452</v>
      </c>
      <c r="K1" s="24">
        <f t="shared" si="0"/>
        <v>45453</v>
      </c>
      <c r="L1" s="24">
        <f t="shared" si="0"/>
        <v>45454</v>
      </c>
      <c r="M1" s="24">
        <f t="shared" si="0"/>
        <v>45455</v>
      </c>
      <c r="N1" s="24">
        <f t="shared" si="0"/>
        <v>45456</v>
      </c>
      <c r="O1" s="24">
        <f t="shared" si="0"/>
        <v>45457</v>
      </c>
      <c r="P1" s="24">
        <f t="shared" si="0"/>
        <v>45458</v>
      </c>
      <c r="Q1" s="24">
        <f t="shared" si="0"/>
        <v>45459</v>
      </c>
      <c r="R1" s="24">
        <f t="shared" si="0"/>
        <v>45460</v>
      </c>
      <c r="S1" s="24">
        <f t="shared" ref="R1:AF2" si="1">+R1+1</f>
        <v>45461</v>
      </c>
      <c r="T1" s="24">
        <f t="shared" si="1"/>
        <v>45462</v>
      </c>
      <c r="U1" s="24">
        <f t="shared" si="1"/>
        <v>45463</v>
      </c>
      <c r="V1" s="24">
        <f t="shared" si="1"/>
        <v>45464</v>
      </c>
      <c r="W1" s="24">
        <f t="shared" si="1"/>
        <v>45465</v>
      </c>
      <c r="X1" s="24">
        <f t="shared" si="1"/>
        <v>45466</v>
      </c>
      <c r="Y1" s="24">
        <f t="shared" si="1"/>
        <v>45467</v>
      </c>
      <c r="Z1" s="24">
        <f t="shared" si="1"/>
        <v>45468</v>
      </c>
      <c r="AA1" s="24">
        <f t="shared" si="1"/>
        <v>45469</v>
      </c>
      <c r="AB1" s="24">
        <f t="shared" si="1"/>
        <v>45470</v>
      </c>
      <c r="AC1" s="24">
        <f t="shared" si="1"/>
        <v>45471</v>
      </c>
      <c r="AD1" s="24">
        <f t="shared" si="1"/>
        <v>45472</v>
      </c>
      <c r="AE1" s="24">
        <f t="shared" si="1"/>
        <v>45473</v>
      </c>
      <c r="AF1" s="38">
        <f t="shared" si="1"/>
        <v>45474</v>
      </c>
    </row>
    <row r="2" spans="1:32">
      <c r="A2" s="4"/>
      <c r="B2" s="5">
        <v>46235</v>
      </c>
      <c r="C2" s="5">
        <f t="shared" si="0"/>
        <v>46236</v>
      </c>
      <c r="D2" s="5">
        <f t="shared" si="0"/>
        <v>46237</v>
      </c>
      <c r="E2" s="5">
        <f t="shared" si="0"/>
        <v>46238</v>
      </c>
      <c r="F2" s="5">
        <f t="shared" si="0"/>
        <v>46239</v>
      </c>
      <c r="G2" s="5">
        <f t="shared" si="0"/>
        <v>46240</v>
      </c>
      <c r="H2" s="5">
        <f t="shared" si="0"/>
        <v>46241</v>
      </c>
      <c r="I2" s="5">
        <f t="shared" si="0"/>
        <v>46242</v>
      </c>
      <c r="J2" s="5">
        <f t="shared" si="0"/>
        <v>46243</v>
      </c>
      <c r="K2" s="5">
        <f t="shared" si="0"/>
        <v>46244</v>
      </c>
      <c r="L2" s="5">
        <f t="shared" si="0"/>
        <v>46245</v>
      </c>
      <c r="M2" s="5">
        <f t="shared" si="0"/>
        <v>46246</v>
      </c>
      <c r="N2" s="5">
        <f t="shared" si="0"/>
        <v>46247</v>
      </c>
      <c r="O2" s="5">
        <f t="shared" si="0"/>
        <v>46248</v>
      </c>
      <c r="P2" s="5">
        <f t="shared" si="0"/>
        <v>46249</v>
      </c>
      <c r="Q2" s="5">
        <f t="shared" si="0"/>
        <v>46250</v>
      </c>
      <c r="R2" s="5">
        <f t="shared" si="1"/>
        <v>46251</v>
      </c>
      <c r="S2" s="5">
        <f t="shared" si="1"/>
        <v>46252</v>
      </c>
      <c r="T2" s="5">
        <f t="shared" si="1"/>
        <v>46253</v>
      </c>
      <c r="U2" s="5">
        <f t="shared" si="1"/>
        <v>46254</v>
      </c>
      <c r="V2" s="5">
        <f t="shared" si="1"/>
        <v>46255</v>
      </c>
      <c r="W2" s="5">
        <f t="shared" si="1"/>
        <v>46256</v>
      </c>
      <c r="X2" s="5">
        <f t="shared" si="1"/>
        <v>46257</v>
      </c>
      <c r="Y2" s="5">
        <f t="shared" si="1"/>
        <v>46258</v>
      </c>
      <c r="Z2" s="5">
        <f t="shared" si="1"/>
        <v>46259</v>
      </c>
      <c r="AA2" s="5">
        <f t="shared" si="1"/>
        <v>46260</v>
      </c>
      <c r="AB2" s="5">
        <f t="shared" si="1"/>
        <v>46261</v>
      </c>
      <c r="AC2" s="5">
        <f t="shared" si="1"/>
        <v>46262</v>
      </c>
      <c r="AD2" s="5">
        <f t="shared" si="1"/>
        <v>46263</v>
      </c>
      <c r="AE2" s="5">
        <f t="shared" si="1"/>
        <v>46264</v>
      </c>
      <c r="AF2" s="39">
        <f t="shared" si="1"/>
        <v>46265</v>
      </c>
    </row>
    <row r="3" spans="1:32" ht="13.5" thickBot="1">
      <c r="A3" s="6"/>
      <c r="B3" s="17"/>
      <c r="C3" s="17"/>
      <c r="D3" s="42"/>
      <c r="E3" s="42"/>
      <c r="F3" s="42"/>
      <c r="G3" s="7"/>
      <c r="H3" s="7"/>
      <c r="I3" s="16"/>
      <c r="J3" s="16"/>
      <c r="K3" s="7"/>
      <c r="L3" s="7"/>
      <c r="M3" s="7"/>
      <c r="N3" s="7"/>
      <c r="O3" s="7"/>
      <c r="P3" s="16"/>
      <c r="Q3" s="16"/>
      <c r="R3" s="16"/>
      <c r="S3" s="42"/>
      <c r="T3" s="7"/>
      <c r="U3" s="7"/>
      <c r="V3" s="7"/>
      <c r="W3" s="16"/>
      <c r="X3" s="16"/>
      <c r="Y3" s="7"/>
      <c r="Z3" s="7"/>
      <c r="AA3" s="7"/>
      <c r="AB3" s="7"/>
      <c r="AC3" s="7"/>
      <c r="AD3" s="16"/>
      <c r="AE3" s="16"/>
      <c r="AF3" s="56"/>
    </row>
    <row r="4" spans="1:32" ht="15">
      <c r="A4" s="9" t="s">
        <v>0</v>
      </c>
      <c r="B4" s="52"/>
      <c r="C4" s="52"/>
      <c r="D4" s="70"/>
      <c r="E4" s="25"/>
      <c r="F4" s="25"/>
      <c r="G4" s="1"/>
      <c r="H4" s="1"/>
      <c r="I4" s="14"/>
      <c r="J4" s="41"/>
      <c r="K4" s="1"/>
      <c r="L4" s="1"/>
      <c r="M4" s="1"/>
      <c r="N4" s="1"/>
      <c r="O4" s="1"/>
      <c r="P4" s="55"/>
      <c r="Q4" s="41"/>
      <c r="R4" s="14"/>
      <c r="S4" s="25"/>
      <c r="T4" s="1"/>
      <c r="U4" s="1"/>
      <c r="V4" s="1"/>
      <c r="W4" s="14"/>
      <c r="X4" s="41"/>
      <c r="Y4" s="30"/>
      <c r="Z4" s="30"/>
      <c r="AA4" s="1"/>
      <c r="AB4" s="1"/>
      <c r="AC4" s="30"/>
      <c r="AD4" s="14"/>
      <c r="AE4" s="41"/>
      <c r="AF4" s="227"/>
    </row>
    <row r="5" spans="1:32" ht="15">
      <c r="A5" s="10"/>
      <c r="B5" s="53"/>
      <c r="C5" s="54"/>
      <c r="D5" s="25"/>
      <c r="E5" s="25"/>
      <c r="F5" s="25"/>
      <c r="G5" s="1"/>
      <c r="H5" s="1"/>
      <c r="I5" s="14"/>
      <c r="J5" s="14"/>
      <c r="K5" s="1"/>
      <c r="L5" s="1"/>
      <c r="M5" s="1"/>
      <c r="N5" s="1"/>
      <c r="O5" s="1"/>
      <c r="P5" s="15"/>
      <c r="Q5" s="14"/>
      <c r="R5" s="14"/>
      <c r="S5" s="25"/>
      <c r="T5" s="1"/>
      <c r="U5" s="1"/>
      <c r="V5" s="1"/>
      <c r="W5" s="14"/>
      <c r="X5" s="14"/>
      <c r="Y5" s="28"/>
      <c r="Z5" s="28"/>
      <c r="AA5" s="25"/>
      <c r="AB5" s="1"/>
      <c r="AC5" s="28"/>
      <c r="AD5" s="14"/>
      <c r="AE5" s="14"/>
      <c r="AF5" s="227"/>
    </row>
    <row r="6" spans="1:32" s="37" customFormat="1" ht="15" customHeight="1">
      <c r="A6" s="36" t="s">
        <v>1</v>
      </c>
      <c r="B6" s="234">
        <v>0</v>
      </c>
      <c r="C6" s="234"/>
      <c r="D6" s="43">
        <v>203868</v>
      </c>
      <c r="E6" s="43">
        <v>171070</v>
      </c>
      <c r="F6" s="225">
        <v>98318</v>
      </c>
      <c r="G6" s="225">
        <v>110814</v>
      </c>
      <c r="H6" s="225">
        <v>145454</v>
      </c>
      <c r="I6" s="234">
        <v>0</v>
      </c>
      <c r="J6" s="234"/>
      <c r="K6" s="225">
        <v>219323</v>
      </c>
      <c r="L6" s="225">
        <v>132188</v>
      </c>
      <c r="M6" s="225">
        <v>111984</v>
      </c>
      <c r="N6" s="225">
        <v>193670</v>
      </c>
      <c r="O6" s="225">
        <v>141693</v>
      </c>
      <c r="P6" s="237">
        <v>184035</v>
      </c>
      <c r="Q6" s="237"/>
      <c r="R6" s="237"/>
      <c r="S6" s="66">
        <v>143083</v>
      </c>
      <c r="T6" s="225">
        <v>58897</v>
      </c>
      <c r="U6" s="225">
        <v>86327</v>
      </c>
      <c r="V6" s="225">
        <v>133779</v>
      </c>
      <c r="W6" s="237">
        <v>0</v>
      </c>
      <c r="X6" s="237"/>
      <c r="Y6" s="66">
        <v>193514</v>
      </c>
      <c r="Z6" s="66">
        <v>147184</v>
      </c>
      <c r="AA6" s="66">
        <v>87631</v>
      </c>
      <c r="AB6" s="66">
        <v>77582</v>
      </c>
      <c r="AC6" s="66">
        <v>121974</v>
      </c>
      <c r="AD6" s="237">
        <v>0</v>
      </c>
      <c r="AE6" s="237"/>
      <c r="AF6" s="228">
        <v>171255</v>
      </c>
    </row>
    <row r="7" spans="1:32" s="83" customFormat="1" ht="15">
      <c r="A7" s="84"/>
      <c r="B7" s="67"/>
      <c r="C7" s="67"/>
      <c r="D7" s="81"/>
      <c r="E7" s="81"/>
      <c r="F7" s="81"/>
      <c r="G7" s="82"/>
      <c r="H7" s="82"/>
      <c r="I7" s="68"/>
      <c r="J7" s="68"/>
      <c r="K7" s="82"/>
      <c r="L7" s="82"/>
      <c r="M7" s="82"/>
      <c r="N7" s="82"/>
      <c r="O7" s="80"/>
      <c r="P7" s="85"/>
      <c r="Q7" s="68"/>
      <c r="R7" s="68"/>
      <c r="S7" s="81"/>
      <c r="T7" s="82"/>
      <c r="U7" s="82"/>
      <c r="V7" s="82"/>
      <c r="W7" s="68"/>
      <c r="X7" s="68"/>
      <c r="Y7" s="86"/>
      <c r="Z7" s="86"/>
      <c r="AA7" s="81"/>
      <c r="AB7" s="82"/>
      <c r="AC7" s="86"/>
      <c r="AD7" s="68"/>
      <c r="AE7" s="68"/>
      <c r="AF7" s="229"/>
    </row>
    <row r="8" spans="1:32" s="37" customFormat="1" ht="15" customHeight="1">
      <c r="A8" s="87" t="s">
        <v>2</v>
      </c>
      <c r="B8" s="234">
        <v>26938</v>
      </c>
      <c r="C8" s="234"/>
      <c r="D8" s="43">
        <v>14094</v>
      </c>
      <c r="E8" s="43">
        <v>79153</v>
      </c>
      <c r="F8" s="225">
        <v>80125</v>
      </c>
      <c r="G8" s="225">
        <v>31356</v>
      </c>
      <c r="H8" s="225">
        <v>18821</v>
      </c>
      <c r="I8" s="234">
        <v>49229</v>
      </c>
      <c r="J8" s="234"/>
      <c r="K8" s="225">
        <v>25033</v>
      </c>
      <c r="L8" s="225">
        <v>97163</v>
      </c>
      <c r="M8" s="225">
        <v>83229</v>
      </c>
      <c r="N8" s="225">
        <v>37597</v>
      </c>
      <c r="O8" s="225">
        <v>64205</v>
      </c>
      <c r="P8" s="237">
        <v>71431</v>
      </c>
      <c r="Q8" s="237"/>
      <c r="R8" s="237"/>
      <c r="S8" s="66">
        <v>83157</v>
      </c>
      <c r="T8" s="225">
        <v>75124</v>
      </c>
      <c r="U8" s="225">
        <v>21350</v>
      </c>
      <c r="V8" s="225">
        <v>11372</v>
      </c>
      <c r="W8" s="234">
        <v>35269</v>
      </c>
      <c r="X8" s="234"/>
      <c r="Y8" s="66">
        <v>22671</v>
      </c>
      <c r="Z8" s="66">
        <v>60143</v>
      </c>
      <c r="AA8" s="66">
        <v>41329</v>
      </c>
      <c r="AB8" s="225">
        <v>13241</v>
      </c>
      <c r="AC8" s="66">
        <v>14307</v>
      </c>
      <c r="AD8" s="237">
        <v>28570</v>
      </c>
      <c r="AE8" s="237"/>
      <c r="AF8" s="135">
        <v>19765</v>
      </c>
    </row>
    <row r="9" spans="1:32" ht="15">
      <c r="A9" s="12"/>
      <c r="B9" s="108"/>
      <c r="C9" s="108"/>
      <c r="D9" s="26"/>
      <c r="E9" s="26"/>
      <c r="F9" s="32"/>
      <c r="G9" s="31"/>
      <c r="H9" s="31"/>
      <c r="I9" s="35"/>
      <c r="J9" s="14"/>
      <c r="K9" s="31"/>
      <c r="L9" s="31"/>
      <c r="M9" s="31"/>
      <c r="N9" s="31"/>
      <c r="O9" s="31"/>
      <c r="P9" s="15"/>
      <c r="Q9" s="14"/>
      <c r="R9" s="35"/>
      <c r="S9" s="32"/>
      <c r="T9" s="31"/>
      <c r="U9" s="31"/>
      <c r="V9" s="31"/>
      <c r="W9" s="35"/>
      <c r="X9" s="14"/>
      <c r="Y9" s="28"/>
      <c r="Z9" s="28"/>
      <c r="AA9" s="32"/>
      <c r="AB9" s="31"/>
      <c r="AC9" s="28"/>
      <c r="AD9" s="35"/>
      <c r="AE9" s="14"/>
      <c r="AF9" s="230"/>
    </row>
    <row r="10" spans="1:32" s="37" customFormat="1">
      <c r="A10" s="36" t="s">
        <v>3</v>
      </c>
      <c r="B10" s="242">
        <f>+B6+B8</f>
        <v>26938</v>
      </c>
      <c r="C10" s="242"/>
      <c r="D10" s="226">
        <f>+D6+D8</f>
        <v>217962</v>
      </c>
      <c r="E10" s="226">
        <f>+E6+E8</f>
        <v>250223</v>
      </c>
      <c r="F10" s="226">
        <f>+F6+F8</f>
        <v>178443</v>
      </c>
      <c r="G10" s="226">
        <f>+G6+G8</f>
        <v>142170</v>
      </c>
      <c r="H10" s="226">
        <f t="shared" ref="H10:AF10" si="2">+H6+H8</f>
        <v>164275</v>
      </c>
      <c r="I10" s="244">
        <f>+I6+I8</f>
        <v>49229</v>
      </c>
      <c r="J10" s="244"/>
      <c r="K10" s="226">
        <f t="shared" si="2"/>
        <v>244356</v>
      </c>
      <c r="L10" s="226">
        <f t="shared" si="2"/>
        <v>229351</v>
      </c>
      <c r="M10" s="226">
        <f t="shared" si="2"/>
        <v>195213</v>
      </c>
      <c r="N10" s="226">
        <f t="shared" si="2"/>
        <v>231267</v>
      </c>
      <c r="O10" s="226">
        <f t="shared" si="2"/>
        <v>205898</v>
      </c>
      <c r="P10" s="239">
        <f t="shared" si="2"/>
        <v>255466</v>
      </c>
      <c r="Q10" s="239"/>
      <c r="R10" s="239"/>
      <c r="S10" s="226">
        <f t="shared" si="2"/>
        <v>226240</v>
      </c>
      <c r="T10" s="226">
        <f t="shared" si="2"/>
        <v>134021</v>
      </c>
      <c r="U10" s="226">
        <f t="shared" si="2"/>
        <v>107677</v>
      </c>
      <c r="V10" s="226">
        <f t="shared" si="2"/>
        <v>145151</v>
      </c>
      <c r="W10" s="244">
        <f t="shared" si="2"/>
        <v>35269</v>
      </c>
      <c r="X10" s="244"/>
      <c r="Y10" s="226">
        <f t="shared" si="2"/>
        <v>216185</v>
      </c>
      <c r="Z10" s="226">
        <f t="shared" si="2"/>
        <v>207327</v>
      </c>
      <c r="AA10" s="226">
        <f>+AA6+AA8</f>
        <v>128960</v>
      </c>
      <c r="AB10" s="226">
        <f t="shared" si="2"/>
        <v>90823</v>
      </c>
      <c r="AC10" s="226">
        <f t="shared" si="2"/>
        <v>136281</v>
      </c>
      <c r="AD10" s="244">
        <f t="shared" si="2"/>
        <v>28570</v>
      </c>
      <c r="AE10" s="244"/>
      <c r="AF10" s="60">
        <f t="shared" si="2"/>
        <v>191020</v>
      </c>
    </row>
    <row r="11" spans="1:32" ht="13.5" thickBot="1">
      <c r="A11" s="13"/>
      <c r="B11" s="78"/>
      <c r="C11" s="78"/>
      <c r="D11" s="79"/>
      <c r="E11" s="79"/>
      <c r="F11" s="42"/>
      <c r="G11" s="7"/>
      <c r="H11" s="7"/>
      <c r="I11" s="16"/>
      <c r="J11" s="16"/>
      <c r="K11" s="7"/>
      <c r="L11" s="7"/>
      <c r="M11" s="7"/>
      <c r="N11" s="7"/>
      <c r="O11" s="7"/>
      <c r="P11" s="17"/>
      <c r="Q11" s="16"/>
      <c r="R11" s="16"/>
      <c r="S11" s="42"/>
      <c r="T11" s="7"/>
      <c r="U11" s="7"/>
      <c r="V11" s="7"/>
      <c r="W11" s="16"/>
      <c r="X11" s="16"/>
      <c r="Y11" s="29"/>
      <c r="Z11" s="29"/>
      <c r="AA11" s="7"/>
      <c r="AB11" s="7"/>
      <c r="AC11" s="29"/>
      <c r="AD11" s="16"/>
      <c r="AE11" s="16"/>
      <c r="AF11" s="56"/>
    </row>
    <row r="13" spans="1:32">
      <c r="B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>
      <c r="W14" s="23"/>
    </row>
    <row r="15" spans="1:32">
      <c r="L15" s="34"/>
      <c r="R15" s="40"/>
      <c r="S15" s="40"/>
      <c r="T15" s="40"/>
      <c r="U15" s="40"/>
      <c r="V15" s="40"/>
    </row>
    <row r="16" spans="1:32">
      <c r="K16" s="34"/>
    </row>
    <row r="20" spans="15:15">
      <c r="O20" s="22"/>
    </row>
  </sheetData>
  <mergeCells count="15">
    <mergeCell ref="B10:C10"/>
    <mergeCell ref="I10:J10"/>
    <mergeCell ref="W10:X10"/>
    <mergeCell ref="AD10:AE10"/>
    <mergeCell ref="P6:R6"/>
    <mergeCell ref="P8:R8"/>
    <mergeCell ref="P10:R10"/>
    <mergeCell ref="B6:C6"/>
    <mergeCell ref="I6:J6"/>
    <mergeCell ref="W6:X6"/>
    <mergeCell ref="AD6:AE6"/>
    <mergeCell ref="B8:C8"/>
    <mergeCell ref="I8:J8"/>
    <mergeCell ref="W8:X8"/>
    <mergeCell ref="AD8:AE8"/>
  </mergeCells>
  <pageMargins left="0.70866141732283472" right="0.70866141732283472" top="0.74803149606299213" bottom="0.74803149606299213" header="0.31496062992125984" footer="0.31496062992125984"/>
  <pageSetup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18</vt:i4>
      </vt:variant>
    </vt:vector>
  </HeadingPairs>
  <TitlesOfParts>
    <vt:vector size="51" baseType="lpstr">
      <vt:lpstr>Diciembre</vt:lpstr>
      <vt:lpstr>Enero 2024</vt:lpstr>
      <vt:lpstr>Febrero 2024</vt:lpstr>
      <vt:lpstr>Marzo 2024</vt:lpstr>
      <vt:lpstr>Abril 2024</vt:lpstr>
      <vt:lpstr>Mayo 2024</vt:lpstr>
      <vt:lpstr>Junio 2024</vt:lpstr>
      <vt:lpstr>Julio 2024</vt:lpstr>
      <vt:lpstr>Agosto 2024</vt:lpstr>
      <vt:lpstr>Septiembre 2024</vt:lpstr>
      <vt:lpstr>Octubre 2024</vt:lpstr>
      <vt:lpstr>Noviembre 2024</vt:lpstr>
      <vt:lpstr>Diciembre 2024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  <vt:lpstr>Abril 2026</vt:lpstr>
      <vt:lpstr>Mayo 2026</vt:lpstr>
      <vt:lpstr>Junio 2026</vt:lpstr>
      <vt:lpstr>Julio 2026</vt:lpstr>
      <vt:lpstr>Agosto 2026</vt:lpstr>
      <vt:lpstr>'Abril 2024'!Área_de_impresión</vt:lpstr>
      <vt:lpstr>'Abril 2026'!Área_de_impresión</vt:lpstr>
      <vt:lpstr>'Agosto 2026'!Área_de_impresión</vt:lpstr>
      <vt:lpstr>'Diciembre 2024'!Área_de_impresión</vt:lpstr>
      <vt:lpstr>'Diciembre 2025'!Área_de_impresión</vt:lpstr>
      <vt:lpstr>'Enero 2024'!Área_de_impresión</vt:lpstr>
      <vt:lpstr>'Febrero 2026'!Área_de_impresión</vt:lpstr>
      <vt:lpstr>'Julio 2026'!Área_de_impresión</vt:lpstr>
      <vt:lpstr>'Junio 2024'!Área_de_impresión</vt:lpstr>
      <vt:lpstr>'Junio 2025'!Área_de_impresión</vt:lpstr>
      <vt:lpstr>'Junio 2026'!Área_de_impresión</vt:lpstr>
      <vt:lpstr>'Marzo 2026'!Área_de_impresión</vt:lpstr>
      <vt:lpstr>'Mayo 2024'!Área_de_impresión</vt:lpstr>
      <vt:lpstr>'Mayo 2026'!Área_de_impresión</vt:lpstr>
      <vt:lpstr>'Noviembre 2024'!Área_de_impresión</vt:lpstr>
      <vt:lpstr>'Octubre 2025'!Área_de_impresión</vt:lpstr>
      <vt:lpstr>'Septiembre 2024'!Área_de_impresión</vt:lpstr>
      <vt:lpstr>'Septiembre 2025'!Área_de_impresión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cristian_gorocito</dc:creator>
  <cp:lastModifiedBy>cristian_gorocito</cp:lastModifiedBy>
  <cp:lastPrinted>2024-02-15T14:11:02Z</cp:lastPrinted>
  <dcterms:created xsi:type="dcterms:W3CDTF">2023-02-06T14:52:54Z</dcterms:created>
  <dcterms:modified xsi:type="dcterms:W3CDTF">2026-09-04T17:13:02Z</dcterms:modified>
</cp:coreProperties>
</file>